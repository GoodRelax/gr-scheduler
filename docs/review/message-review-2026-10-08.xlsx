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xr:revisionPtr revIDLastSave="0" documentId="13_ncr:1_{9DAD15B4-1BF0-4394-8C1D-94D3F2FFD9EE}" xr6:coauthVersionLast="47" xr6:coauthVersionMax="47" xr10:uidLastSave="{00000000-0000-0000-0000-000000000000}"/>
  <bookViews>
    <workbookView xWindow="-120" yWindow="-16320" windowWidth="29040" windowHeight="16440" activeTab="1" xr2:uid="{00000000-000D-0000-FFFF-FFFF00000000}"/>
  </bookViews>
  <sheets>
    <sheet name="使い方" sheetId="1" r:id="rId1"/>
    <sheet name="記入" sheetId="2" r:id="rId2"/>
    <sheet name="まとまり" sheetId="3" r:id="rId3"/>
    <sheet name="退役・変化" sheetId="4" r:id="rId4"/>
  </sheets>
  <definedNames>
    <definedName name="_xlnm._FilterDatabase" localSheetId="1" hidden="1">記入!$A$1:$R$139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3" l="1"/>
  <c r="C15" i="3"/>
  <c r="C14" i="3"/>
  <c r="C13" i="3"/>
  <c r="C12" i="3"/>
  <c r="C11" i="3"/>
  <c r="C10" i="3"/>
  <c r="C9" i="3"/>
  <c r="C8" i="3"/>
  <c r="C7" i="3"/>
  <c r="C6" i="3"/>
  <c r="C5" i="3"/>
  <c r="C4" i="3"/>
  <c r="C3" i="3"/>
  <c r="C2" i="3"/>
  <c r="C34" i="1"/>
  <c r="C32" i="1"/>
  <c r="B32" i="1"/>
  <c r="C31" i="1"/>
  <c r="B31" i="1"/>
  <c r="C30" i="1"/>
  <c r="B30" i="1"/>
  <c r="C29" i="1"/>
  <c r="B29" i="1"/>
  <c r="C28" i="1"/>
  <c r="B28" i="1"/>
  <c r="C33" i="1" l="1"/>
  <c r="B33" i="1"/>
</calcChain>
</file>

<file path=xl/sharedStrings.xml><?xml version="1.0" encoding="utf-8"?>
<sst xmlns="http://schemas.openxmlformats.org/spreadsheetml/2006/main" count="2040" uniqueCount="1017">
  <si>
    <t>#</t>
  </si>
  <si>
    <t>ID</t>
  </si>
  <si>
    <t>領域</t>
  </si>
  <si>
    <t>深刻度</t>
  </si>
  <si>
    <t>OK</t>
  </si>
  <si>
    <t>まとまり</t>
  </si>
  <si>
    <t>状況</t>
  </si>
  <si>
    <t>出る場面</t>
  </si>
  <si>
    <t>文（日本語）</t>
  </si>
  <si>
    <t>次の一手（日本語）</t>
  </si>
  <si>
    <t>English</t>
  </si>
  <si>
    <t>推奨の理由</t>
  </si>
  <si>
    <t>作法</t>
  </si>
  <si>
    <t>要否（記入）</t>
  </si>
  <si>
    <t>コメント（記入）</t>
  </si>
  <si>
    <t>推奨（参照・変えない）</t>
  </si>
  <si>
    <t>備考</t>
  </si>
  <si>
    <t>出す所（src）</t>
  </si>
  <si>
    <t>RS-4</t>
  </si>
  <si>
    <t>ファイル読込（開く・取り込み・起動時）</t>
  </si>
  <si>
    <t>エラー</t>
  </si>
  <si>
    <t>要</t>
  </si>
  <si>
    <t>D</t>
  </si>
  <si>
    <t>既存</t>
  </si>
  <si>
    <t>ヘッダーの『開く』で選んだ（またはドロップした）ファイルが UTF-8 でない（例: Shift_JIS で保存した MSPDI XML）とき</t>
  </si>
  <si>
    <t>このファイルは UTF-8 ではないので読めません</t>
  </si>
  <si>
    <t>UTF-8 で保存し直してから開いてください</t>
  </si>
  <si>
    <t>This file is not UTF-8, so it cannot be read
→ Save it as UTF-8 and open it again</t>
  </si>
  <si>
    <t>開けなかった理由と直し方は画面のどこにも出ないので、告げないと利用者は何もできない</t>
  </si>
  <si>
    <t>NT-1</t>
  </si>
  <si>
    <t>表示する（今のまま）</t>
  </si>
  <si>
    <t>開く操作が丸ごと止まる。ほかの読込通知とは重ならない</t>
  </si>
  <si>
    <t>src/framework/single-html-shell/frame-loop.ts:2833（raiseFileFault、対応表 881 notUtf8）</t>
  </si>
  <si>
    <t>RS-11</t>
  </si>
  <si>
    <t>ヘッダーの『開く』で、拡張子が .json / .xml / .html のどれでもないファイルを選んだとき</t>
  </si>
  <si>
    <t>拡張子が、読み取れる形式のどれにも当てはまりません</t>
  </si>
  <si>
    <t>読み取れる形式のファイルを選んでください</t>
  </si>
  <si>
    <t>The file name extension matches no format that can be read
→ Choose a file in a format that can be read</t>
  </si>
  <si>
    <t>利用者には拡張子と中身の違いは要らない。RS-11/12/13 を「このファイルは GRS が読める形式（GRS JSON・MSPDI XML・GRS の .html）ではありません → 形式とファイルが壊れていないかを確かめてください」の 1 文にまとめる</t>
  </si>
  <si>
    <t>1 枚にまとめる（同じまとまりの他の行と）</t>
  </si>
  <si>
    <t>RS-12・RS-13 と 3 つで「形式が分からない」を言い分けている</t>
  </si>
  <si>
    <t>src/framework/single-html-shell/document-file-flow.ts:673（対応表 98 extension）</t>
  </si>
  <si>
    <t>RS-12</t>
  </si>
  <si>
    <t>ヘッダーの『開く』で、拡張子は .json などなのに中身の先頭がどの形式にも当たらない（壊れた・空の）ファイルを選んだとき</t>
  </si>
  <si>
    <t>ファイルの中身が、読み取れる形式のどれにも当てはまりません</t>
  </si>
  <si>
    <t>ファイルが壊れていないかを確かめてください</t>
  </si>
  <si>
    <t>The contents match no format that can be read
→ Check whether the file is intact</t>
  </si>
  <si>
    <t>RS-11 と同じ 1 文にまとめる（言い分けても利用者の次の一手は同じ）</t>
  </si>
  <si>
    <t>src/framework/single-html-shell/document-file-flow.ts:673（対応表 99 firstCharacter）</t>
  </si>
  <si>
    <t>RS-13</t>
  </si>
  <si>
    <t>ヘッダーの『開く』で、拡張子は .json なのに中身が XML（またはその逆）のファイルを選んだとき</t>
  </si>
  <si>
    <t>拡張子と中身が別の形式を指しているので、どちらとしても読めません</t>
  </si>
  <si>
    <t>ファイル名と中身のどちらが正しいかを確かめてください</t>
  </si>
  <si>
    <t>The extension and the contents name different formats, so neither can be read
→ Check which of the name and the contents is right</t>
  </si>
  <si>
    <t>RS-11 と同じ 1 文にまとめる</t>
  </si>
  <si>
    <t>src/framework/single-html-shell/document-file-flow.ts:673（対応表 100 both）</t>
  </si>
  <si>
    <t>RS-67</t>
  </si>
  <si>
    <t>ヘッダーの『開く』で GRS が書き出したものではない .html を選んだとき、または文書の容れ物が 2 つ以上ある .html を起動したとき</t>
  </si>
  <si>
    <t>このファイルは GRS で開ける .html ではありません</t>
  </si>
  <si>
    <t>GRS のヘッダーの書き出しで作ったファイルか、ファイルの出どころを確かめてください</t>
  </si>
  <si>
    <t>This file is not an .html that GRS can open
→ Check that it was written out from the GRS header, or where the file came from</t>
  </si>
  <si>
    <t>開かなかった理由が画面からは読めない。出どころを確かめる手がかりが要る</t>
  </si>
  <si>
    <t>src/framework/single-html-shell/document-file-flow.ts:317（acceptedIntake）／起動時 single-html-shell.ts:286</t>
  </si>
  <si>
    <t>RS-25</t>
  </si>
  <si>
    <t>GRS JSON の列が決められた形に合わないファイルを読んだとき（起動時に埋め込まれた文書、または『開く』で選んだ .json）</t>
  </si>
  <si>
    <t>読み込んだファイルの中身が、決められた形に合いません</t>
  </si>
  <si>
    <t>書き出したときのファイルをそのまま開いてください</t>
  </si>
  <si>
    <t>The contents of the file that was read do not match the settled shape
→ Open the file as it was written out</t>
  </si>
  <si>
    <t>『開く』で黙って開かないのは不具合に見える。起動時と同じく告げる（acceptedIntake で RS-25 も通知する）</t>
  </si>
  <si>
    <t>⚠️ 『開く』では何も出ずに開かない（出なさすぎ、2026-10-07 から変わらず）</t>
  </si>
  <si>
    <t>起動時のみ src/framework/single-html-shell/single-html-shell.ts:285→645。『開く』の経路は document-file-flow.ts:316 が RS-64/RS-67 しか通知しないので黙る</t>
  </si>
  <si>
    <t>RS-26</t>
  </si>
  <si>
    <t>OS から「GRS で開く」で渡したファイルが起動時に読めなかったとき</t>
  </si>
  <si>
    <t>起動時に渡されたファイルを読めなかったので、開いていません</t>
  </si>
  <si>
    <t>そのファイルを選び直して開いてください</t>
  </si>
  <si>
    <t>The file handed at start-up could not be read, so it was not opened
→ Choose that file again and open it</t>
  </si>
  <si>
    <t>起動したのに文書が出ない理由が分からないので要る</t>
  </si>
  <si>
    <t>起動時の用件として 1 枚に集約される（NT-4、notices.ts:220）</t>
  </si>
  <si>
    <t>src/framework/single-html-shell/single-html-shell.ts:287→645</t>
  </si>
  <si>
    <t>RS-75</t>
  </si>
  <si>
    <t>H</t>
  </si>
  <si>
    <t>新規</t>
  </si>
  <si>
    <t>ヘッダーの『開く』や開き直す操作（Ctrl+R 相当の SK-21）が、権限・形式以外の思いがけない理由で途中で失敗したとき</t>
  </si>
  <si>
    <t>ファイルを開く途中で、思いがけない理由で失敗しました</t>
  </si>
  <si>
    <t>もう一度開いてください。続くときは、直前の操作を控えてください</t>
  </si>
  <si>
    <t>Opening the file failed partway for an unexpected reason
→ Open it once more; if it keeps happening, note what you did</t>
  </si>
  <si>
    <t>開けなかったことは画面に出ないので要る。RS-15 より何が失敗したかが分かる分よい</t>
  </si>
  <si>
    <t>NT-3a</t>
  </si>
  <si>
    <t>CR-705 で新設。RS-15 の「読む操作」版</t>
  </si>
  <si>
    <t>src/framework/single-html-shell/document-file-flow.ts:491（beginReadingDocumentFile の catch）</t>
  </si>
  <si>
    <t>RS-64</t>
  </si>
  <si>
    <t>E</t>
  </si>
  <si>
    <t>新しい版の GRS で作った文書を『開く』で選んだ（または起動した）が、日程データの形がこの版で読めないとき</t>
  </si>
  <si>
    <t>この文書は新しい形式で書かれており、この版では開けません</t>
  </si>
  <si>
    <t>最新版を {downloadUrl} からダウンロードして開いてください</t>
  </si>
  <si>
    <t>This document is in a newer format, and this version cannot open it
→ Download the latest version from {downloadUrl} and open the document there</t>
  </si>
  <si>
    <t>開けない理由と最新版の入手先は告げないと分からない</t>
  </si>
  <si>
    <t>リンク {downloadUrl} 付き</t>
  </si>
  <si>
    <t>src/framework/single-html-shell/document-file-flow.ts:317／起動時 single-html-shell.ts:294</t>
  </si>
  <si>
    <t>RS-48</t>
  </si>
  <si>
    <t>新しい版の GRS で作った文書を開き、この版で読めない項目があったとき</t>
  </si>
  <si>
    <t>この文書は新しい形式で書かれており、読めなかった項目があります</t>
  </si>
  <si>
    <t>続けると、読めなかった項目は保存したときに失われます。失いたくないときは、最新版を {downloadUrl} からダウンロードして開いてください</t>
  </si>
  <si>
    <t>This document is in a newer format, and some items could not be read
→ If you go on, what could not be read is lost when you save. To keep it, download the latest version from {downloadUrl} and open the document there</t>
  </si>
  <si>
    <t>保存すると読めなかった項目が失われる。データが消える話なので要る</t>
  </si>
  <si>
    <t>spec は NT-1（開く前に問う）だが src は開いた後に出す（DEVIATION DFC-855、document-file-flow.ts:336）。差分確認の画面（U-61）にも同じ語</t>
  </si>
  <si>
    <t>src/framework/single-html-shell/document-file-flow.ts:338／起動時 single-html-shell.ts:651</t>
  </si>
  <si>
    <t>RS-63</t>
  </si>
  <si>
    <t>警告</t>
  </si>
  <si>
    <t>新しい版の GRS で作った文書を開き、すべての項目が読めたとき</t>
  </si>
  <si>
    <t>この文書は、この版より新しい形式で書かれています</t>
  </si>
  <si>
    <t>最新版を {downloadUrl} からダウンロードして使ってください</t>
  </si>
  <si>
    <t>This document is in a newer format than this version
→ Download the latest version from {downloadUrl} and use it</t>
  </si>
  <si>
    <t>失うものは無く、最新版の案内だけなので、読めれば足りる</t>
  </si>
  <si>
    <t>NT-5</t>
  </si>
  <si>
    <t>OK を押さずに自然に消える表示にする</t>
  </si>
  <si>
    <t>開けて何も失われないのに OK を求める</t>
  </si>
  <si>
    <t>src/framework/single-html-shell/document-file-flow.ts:335／起動時 single-html-shell.ts:651</t>
  </si>
  <si>
    <t>RS-14</t>
  </si>
  <si>
    <t>I</t>
  </si>
  <si>
    <t>ヘッダーの『開く』で複数のファイルを選んだ、または複数を一度にドロップしたとき（先頭の 1 つだけ開く）</t>
  </si>
  <si>
    <t>先頭の 1 つだけを開きました。残りは開いていません</t>
  </si>
  <si>
    <t>残りは 1 つずつ開いてください</t>
  </si>
  <si>
    <t>Only the first file was opened; the rest were left
→ Open the rest one at a time</t>
  </si>
  <si>
    <t>1 回の読込で出る知らせ（クラスタ I）を 1 枚の「読込の結果」にまとめ、件数の行として並べる</t>
  </si>
  <si>
    <t>件数付き。同じ読込で RS-51/52/60/16/71/72 と積み重なり得る</t>
  </si>
  <si>
    <t>src/framework/single-html-shell/document-file-flow.ts:667</t>
  </si>
  <si>
    <t>RS-50</t>
  </si>
  <si>
    <t>使えない日付（読めない・範囲外）を持つタスクを含むファイルを開き、そのタスクを落として取り込んだとき</t>
  </si>
  <si>
    <t>下記の無効なタスクを削除して取り込みました</t>
  </si>
  <si>
    <t>元のファイルの日付を直して読み直すか、取り消しで取り込む前へ戻せます</t>
  </si>
  <si>
    <t>The invalid tasks listed below were removed, and the rest was imported
→ Fix the dates in the original file and read it again, or undo to get back to before the import</t>
  </si>
  <si>
    <t>タスクが消えたことと名前は画面からは分からない。I の他の行をまとめる受け皿にもなる</t>
  </si>
  <si>
    <t>通知の欄ではなく取込報告の面に、落としたタスク名の一覧と出る。RS-73 と同じ面</t>
  </si>
  <si>
    <t>src/adapter/screen-renderer/open-modals.ts:86（取込報告の面 U-62、OK で閉じる open-modals-drawing.ts:751）</t>
  </si>
  <si>
    <t>RS-51</t>
  </si>
  <si>
    <t>開いた文書（または起動時の文書）の設定値が範囲の外で、範囲内に収めたとき</t>
  </si>
  <si>
    <t>読んだ設定値が範囲の外だったので、範囲に収めました</t>
  </si>
  <si>
    <t>元の値が要るときは、保存し直す前に元のファイルを控えてください</t>
  </si>
  <si>
    <t>Settings the document carried were out of range and were brought back in
→ Keep a copy of the original file before saving, if those values matter</t>
  </si>
  <si>
    <t>同じ読込の他の知らせと 1 枚（取込報告 U-62 か 1 枚の通知）に件数の行として並べる</t>
  </si>
  <si>
    <t>件数付き</t>
  </si>
  <si>
    <t>src/framework/single-html-shell/document-file-flow.ts:798／起動時 single-html-shell.ts:647</t>
  </si>
  <si>
    <t>RS-52</t>
  </si>
  <si>
    <t>開いた文書の完了率が日付と食い違っていて数え直したとき、または『休日の設定』の『適用』などで暦を変えて完了率が変わったとき</t>
  </si>
  <si>
    <t>完了率を日付から数え直しました</t>
  </si>
  <si>
    <t>暦を変えたときは、取り消しで暦ごと戻せます。ファイルを開いたときは、元の値が日付と食い違っていました</t>
  </si>
  <si>
    <t>The percent complete was counted again from the dates
→ After a calendar change, Undo puts both back. After opening a file, its stored values disagreed with its dates</t>
  </si>
  <si>
    <t>読込時は他の読込の知らせと 1 枚にまとめる。暦の編集後に単独で出る場合はそのまま 1 枚</t>
  </si>
  <si>
    <t>NT-3</t>
  </si>
  <si>
    <t>件数付き（NT-3）。画面の編集後にも出る</t>
  </si>
  <si>
    <t>src/framework/single-html-shell/document-file-flow.ts:799, 833／編集後 frame-loop.ts:3141</t>
  </si>
  <si>
    <t>RS-60</t>
  </si>
  <si>
    <t>MSPDI XML を開き、1 つしか置けない要素が重なっていて最初のものを採ったとき</t>
  </si>
  <si>
    <t>同じ要素が重なっていたので、最初のものを採りました</t>
  </si>
  <si>
    <t>後のほうの値が正しいときは、元のファイルを直して読み直してください</t>
  </si>
  <si>
    <t>Some elements appeared more than once; the first of each was kept
→ If a later copy held the right value, fix the original file and read it again</t>
  </si>
  <si>
    <t>同じ読込の他の知らせと 1 枚にまとめる</t>
  </si>
  <si>
    <t>src/framework/single-html-shell/document-file-flow.ts:800</t>
  </si>
  <si>
    <t>RS-71</t>
  </si>
  <si>
    <t>『開く』→ ファイルを開く面で『合流させる』を選び、取り込んだファイルの値で対応するタスクを上書きしたとき</t>
  </si>
  <si>
    <t>取り込んだファイルの値で、対応するタスクを上書きしました</t>
  </si>
  <si>
    <t>上書きしたくなかったときは、取り消しで合流する前へ戻せます</t>
  </si>
  <si>
    <t>The matching tasks were overwritten with the values of the file you brought in
→ If that was not wanted, undo to get back to before the merge</t>
  </si>
  <si>
    <t>合流の結果（上書き N 件・残した N 件・届かなかった名前）を 1 枚にまとめる。取り消しで戻せるので単独の OK は重い</t>
  </si>
  <si>
    <t>CR-688 で新設（MG-14）。件数付き。合流のたびに RS-72 と並んで出得る</t>
  </si>
  <si>
    <t>src/framework/single-html-shell/document-file-flow.ts:604（tellImportReport）</t>
  </si>
  <si>
    <t>RS-72</t>
  </si>
  <si>
    <t>『合流させる』で取り込んだファイルに無かったタスクを、消さずに残したとき</t>
  </si>
  <si>
    <t>取り込んだファイルに無かったタスクは、消さずに残しました</t>
  </si>
  <si>
    <t>要らないものは、選んで削除してください</t>
  </si>
  <si>
    <t>Tasks the file did not carry were kept, not deleted
→ Select and delete any you no longer need</t>
  </si>
  <si>
    <t>RS-71 と同じ 1 枚に件数の行として並べる</t>
  </si>
  <si>
    <t>CR-688 で新設。旧一覧の MG-7（語なし）に語ができた。件数付き</t>
  </si>
  <si>
    <t>src/framework/single-html-shell/document-file-flow.ts:606（tellImportReport）</t>
  </si>
  <si>
    <t>RS-73</t>
  </si>
  <si>
    <t>『合流させる』で、前回の取り込みでは届いていたタスクが今回のファイルには無かったとき</t>
  </si>
  <si>
    <t>前回の取り込みでは届いていた下記のタスクが、今回は届きませんでした</t>
  </si>
  <si>
    <t>要らないものは、日程表で選んで削除してください。残せば、書き出したときに相手側にまた現れます</t>
  </si>
  <si>
    <t>The tasks listed below came with the last import but not with this one
→ Select and delete on the schedule any you no longer need; kept ones reappear on the other side when you export</t>
  </si>
  <si>
    <t>消すかどうかを利用者が決めるための名前の一覧なので要る（既に取込報告の 1 面にまとまっている）</t>
  </si>
  <si>
    <t>CR-688 で新設。旧一覧の MG-11（語なし）に語ができた。通知の欄ではなく RS-50 と同じ面に名前で並ぶ</t>
  </si>
  <si>
    <t>src/adapter/screen-renderer/open-modals.ts:88（取込報告の面 U-62）</t>
  </si>
  <si>
    <t>RS-16</t>
  </si>
  <si>
    <t>ヘッダーの『変更前の予定』または開く面の『重ねる』で比較用のファイルを重ね、対応するタスクが無いものがあったとき</t>
  </si>
  <si>
    <t>重ねたファイルの一部のタスクは、現在の文書に対応するものが無いので描いていません</t>
  </si>
  <si>
    <t>対応するタスクを持つ文書へ重ねると描かれます</t>
  </si>
  <si>
    <t>Some tasks of the overlaid file have no counterpart in this document, so they are not drawn
→ Overlay it on a document that holds the matching tasks and they will be drawn</t>
  </si>
  <si>
    <t>同じ読込で出る RS-51/52/60 などと 1 枚にまとめる</t>
  </si>
  <si>
    <t>src/framework/single-html-shell/document-file-flow.ts:601（tellImportReport）</t>
  </si>
  <si>
    <t>RS-21</t>
  </si>
  <si>
    <t>稼働する曜日が 1 つも無い暦を持つ文書を『開く』で選んだ、または起動したとき</t>
  </si>
  <si>
    <t>稼働する曜日が 1 つも無い暦なので、この文書の暦にできません</t>
  </si>
  <si>
    <t>稼働する曜日を 1 つ以上選んでください</t>
  </si>
  <si>
    <t>This calendar has no working weekday, so it cannot be the calendar of this document
→ Choose at least one working weekday</t>
  </si>
  <si>
    <t>開けない理由と直し方は画面に出ないので要る</t>
  </si>
  <si>
    <t>IV-17 と同じ条件（クラスタ M）。『休日の設定』で全曜日を休みにする編集は REFUSAL_SITUATIONS（frame-loop.ts:905）に IV-17 が無いので RS-10 になる見込み（未実測）</t>
  </si>
  <si>
    <t>src/framework/single-html-shell/document-file-flow.ts:724／起動時 single-html-shell.ts:347</t>
  </si>
  <si>
    <t>QN-5</t>
  </si>
  <si>
    <t>確認</t>
  </si>
  <si>
    <t>L</t>
  </si>
  <si>
    <t>ヘッダーの『開く』で『置き換える』を選んだとき、または『新規作成』を押したとき（いまの文書を捨てる前）</t>
  </si>
  <si>
    <t>いまの文書を閉じますか？ 保存していない編集と、元に戻す履歴は失われます</t>
  </si>
  <si>
    <t>Close the current document? Unsaved edits and the undo history will be lost</t>
  </si>
  <si>
    <t>未保存の編集が無いときは失うのは取り消しの履歴だけなので問わない（未保存の編集があるときだけ今のまま問う）</t>
  </si>
  <si>
    <t>NT-7</t>
  </si>
  <si>
    <t>表示しない</t>
  </si>
  <si>
    <t>未保存の編集の有無によらず問う（spec 表 T-234 が明記）。Yes / No、y / n、Esc = No</t>
  </si>
  <si>
    <t>src/framework/single-html-shell/frame-loop.ts:2147（discardQuestionOf）, 3200（新規作成）</t>
  </si>
  <si>
    <t>IV-1</t>
  </si>
  <si>
    <t>ファイル読込 — 取り込みの拒否（不変条件 表 T-220）</t>
  </si>
  <si>
    <t>—</t>
  </si>
  <si>
    <t>M</t>
  </si>
  <si>
    <t>開いたファイルの中で ID（主キー）が重複しているとき</t>
  </si>
  <si>
    <t>案「同じ ID のものが 2 つ以上あるので、このファイルは開けません → 元のファイルの ID の重なりを直してから開いてください」（RS-57 と語を揃える）</t>
  </si>
  <si>
    <t>文面を直す（コメントに案）</t>
  </si>
  <si>
    <t>語が空で、今は何も出ずに開かない。編集での同じ拒否は RS-57（frame-loop.ts:909）</t>
  </si>
  <si>
    <t>なし（schedule-invariants.ts:323 が検査。取込の拒否は document-file-flow.ts:717 で黙って false、frame-loop.ts:895 importRefused: null）</t>
  </si>
  <si>
    <t>IV-2</t>
  </si>
  <si>
    <t>開いたファイルの参照先（外部キー: タスク・担当者・タスクグループの id）が存在しないとき</t>
  </si>
  <si>
    <t>案「存在しないものを指している参照があるので、このファイルは開けません → 書き出したときのファイルをそのまま開いてください」</t>
  </si>
  <si>
    <t>語が空。編集での同じ拒否（edit-task.ts:205 など）は REFUSAL_SITUATIONS に無いので RS-10 になる</t>
  </si>
  <si>
    <t>なし（schedule-invariants.ts:347。取込は document-file-flow.ts:717 で黙る）</t>
  </si>
  <si>
    <t>IV-3</t>
  </si>
  <si>
    <t>開いたファイルで、ピン止めしたタスクグループ（行）が存在しないものを指しているとき</t>
  </si>
  <si>
    <t>案「ピン止めの記録が存在しないタスクグループを指しているので、このファイルは開けません → 書き出したときのファイルをそのまま開いてください」</t>
  </si>
  <si>
    <t>語が空</t>
  </si>
  <si>
    <t>なし（schedule-invariants.ts:385。取込は document-file-flow.ts:717 で黙る）</t>
  </si>
  <si>
    <t>IV-4</t>
  </si>
  <si>
    <t>開いたファイルのタスクの親子（WBS の親）が輪になっているとき</t>
  </si>
  <si>
    <t>案「タスクの親子が輪になっているので、このファイルは開けません → 元のファイルで親子の輪を解いてから開いてください」</t>
  </si>
  <si>
    <t>語が空。RS-55（輪）と近い</t>
  </si>
  <si>
    <t>なし（schedule-invariants.ts:403。取込は document-file-flow.ts:717 で黙る）</t>
  </si>
  <si>
    <t>IV-5</t>
  </si>
  <si>
    <t>開いたファイルのタスクグループ（行）の入れ子が深さの上限を超えているとき</t>
  </si>
  <si>
    <t>案「タスクグループの入れ子が段の上限より深いので、このファイルは開けません → 元のファイルで入れ子を浅くしてから開いてください」</t>
  </si>
  <si>
    <t>なし（schedule-invariants.ts:419。取込は document-file-flow.ts:717 で黙る）</t>
  </si>
  <si>
    <t>IV-6</t>
  </si>
  <si>
    <t>開いたファイルで、タスクがどのタスクグループ（行）にも属していない、または 2 つ以上に属しているとき</t>
  </si>
  <si>
    <t>案「どのタスクグループにも載っていない（または 2 つ以上に載っている）タスクがあるので、このファイルは開けません → 書き出したときのファイルをそのまま開いてください」</t>
  </si>
  <si>
    <t>なし（schedule-invariants.ts:443。取込は黙る。編集 edit-task.ts:301 は RS-10）</t>
  </si>
  <si>
    <t>IV-23</t>
  </si>
  <si>
    <t>開いたファイルで、タスクの見た目の記録が 0 個または 2 個以上あるとき</t>
  </si>
  <si>
    <t>案「タスクの見た目の記録が欠けているか重なっているので、このファイルは開けません → 書き出したときのファイルをそのまま開いてください」</t>
  </si>
  <si>
    <t>なし（validate-imported-document.ts:313 が検査し、document-file-flow.ts:717 で黙って開かない）</t>
  </si>
  <si>
    <t>IV-7</t>
  </si>
  <si>
    <t>開いたファイルに暦が 1 つも無いとき</t>
  </si>
  <si>
    <t>案「暦が 1 つも無いので、このファイルは開けません → 書き出したときのファイルをそのまま開いてください」</t>
  </si>
  <si>
    <t>なし（schedule-invariants.ts:455。取込は黙る）</t>
  </si>
  <si>
    <t>IV-17</t>
  </si>
  <si>
    <t>開いたファイルの暦に稼働する曜日が 1 つも無いとき</t>
  </si>
  <si>
    <t>案: RS-21 の語をそのまま使う（「稼働する曜日が 1 つも無い暦なので…」）。IV-17 独自の語は要らない</t>
  </si>
  <si>
    <t>語が空。RS-21 と同じ条件で、画面には RS-21 が出る</t>
  </si>
  <si>
    <t>なし（schedule-invariants.ts:473。ただし開く経路では先に RS-21 が出る document-file-flow.ts:722-725）</t>
  </si>
  <si>
    <t>IV-8</t>
  </si>
  <si>
    <t>開いたファイルで、タスクグループ（行）が名前も元タスクも持たないとき</t>
  </si>
  <si>
    <t>案「名前の無いタスクグループがあるので、このファイルは開けません → 書き出したときのファイルをそのまま開いてください」</t>
  </si>
  <si>
    <t>なし（schedule-invariants.ts:486。取込は黙る）</t>
  </si>
  <si>
    <t>IV-9</t>
  </si>
  <si>
    <t>開いたファイルで、タスクや注記の塗りと線が両方とも透明のとき（プロパティパネルで両方を透明にする編集も同じ拒否）</t>
  </si>
  <si>
    <t>案「塗りと線の両方を透明にはできません → どちらかに色を付けてください」（取込では「…ものがあるので、このファイルは開けません」）</t>
  </si>
  <si>
    <t>なし（schedule-invariants.ts:503。編集 task-appearance.ts:125・edit-annotation.ts:366 は RS-10 になる）</t>
  </si>
  <si>
    <t>IV-10</t>
  </si>
  <si>
    <t>開いたファイルで、タスクの終了日が開始日より前のとき</t>
  </si>
  <si>
    <t>案: RS-58 の語に「…タスクがあるので、このファイルは開けません」を付けて使う</t>
  </si>
  <si>
    <t>語が空。RS-58 と同じ条件</t>
  </si>
  <si>
    <t>なし（schedule-invariants.ts:529。取込は黙る。編集では RS-58）</t>
  </si>
  <si>
    <t>IV-11</t>
  </si>
  <si>
    <t>開いたファイルで、フェードを持つタスクに終了日が無いとき（編集でフェードを付ける場合も）</t>
  </si>
  <si>
    <t>案「終了日の無いタスクにはフェードを付けられません → 終了日を入れてから付けてください」</t>
  </si>
  <si>
    <t>なし（schedule-invariants.ts:549。編集 task-appearance.ts:62 は RS-10）</t>
  </si>
  <si>
    <t>IV-12</t>
  </si>
  <si>
    <t>開いたファイルで、フェードの日数の和がタスクの期間を超えるとき（プロパティパネルでフェードを長くしすぎた場合も）</t>
  </si>
  <si>
    <t>案「フェードの日数の和が、タスクの期間より長くなっています → フェードを短くするか、期間を延ばしてください」</t>
  </si>
  <si>
    <t>なし（schedule-invariants.ts:567。編集 task-appearance.ts:68・task-plan-actual.ts:311 は RS-10）</t>
  </si>
  <si>
    <t>IV-14</t>
  </si>
  <si>
    <t>開いたファイルの日付の列が日付として読めない／扱える範囲の外のとき（プロパティパネルで範囲外の日付を入れた場合も）</t>
  </si>
  <si>
    <t>案「日付として読めない値か、扱える範囲の外の日付です → 正しい日付を入れてください」（編集の拒否で RS-10 に潰れないように）</t>
  </si>
  <si>
    <t>語が空。取込では RS-50 が代わりに出る</t>
  </si>
  <si>
    <t>なし（取込では該当タスクを落として RS-50 になる document-file-flow.ts:341。編集 task-create.ts:32 などは RS-10）</t>
  </si>
  <si>
    <t>IV-15</t>
  </si>
  <si>
    <t>開いたファイルの取込の通番が文書の通番を超えるとき</t>
  </si>
  <si>
    <t>案「ファイルの中の取り込みの記録が食い違っているので、このファイルは開けません → 書き出したときのファイルをそのまま開いてください」</t>
  </si>
  <si>
    <t>語が空。内部の数</t>
  </si>
  <si>
    <t>なし（schedule-invariants.ts:633。取込は黙る）</t>
  </si>
  <si>
    <t>IV-16</t>
  </si>
  <si>
    <t>開いたファイルの設定値が、別の設定値との上下の関係を満たさないとき</t>
  </si>
  <si>
    <t>案「設定値の上限と下限が逆になっているので、このファイルは開けません → 元のファイルの設定値を直してから開いてください」</t>
  </si>
  <si>
    <t>語が空。範囲外の単独値は RS-51 で収めて開くのに、上下の逆転は黙って開かない</t>
  </si>
  <si>
    <t>なし（schedule-invariants.ts:652。取込は黙る）</t>
  </si>
  <si>
    <t>IV-19</t>
  </si>
  <si>
    <t>開いたファイルで、注記（ハイライトボックス）の開始と終了、上と下が逆のとき</t>
  </si>
  <si>
    <t>案「始まりと終わり（または上と下）が逆のハイライトボックスがあるので、このファイルは開けません」</t>
  </si>
  <si>
    <t>語が空。RS-58 の注記版</t>
  </si>
  <si>
    <t>なし（schedule-invariants.ts:678。取込は黙る）</t>
  </si>
  <si>
    <t>IV-18</t>
  </si>
  <si>
    <t>開いたファイルのタスクグループ（行）の親子が輪になっているとき</t>
  </si>
  <si>
    <t>案「タスクグループの親子が輪になっているので、このファイルは開けません → 書き出したときのファイルをそのまま開いてください」</t>
  </si>
  <si>
    <t>なし（schedule-invariants.ts:701。取込は黙る）</t>
  </si>
  <si>
    <t>IV-20</t>
  </si>
  <si>
    <t>開いたファイルにタスクグループ（行）が 1 つも無いとき</t>
  </si>
  <si>
    <t>案「タスクグループが 1 つも無いので、このファイルは開けません」</t>
  </si>
  <si>
    <t>なし（schedule-invariants.ts:464。取込は黙る）</t>
  </si>
  <si>
    <t>IV-21</t>
  </si>
  <si>
    <t>開いたファイルで実績の両端が入れ替わって実績の長さが負になるとき（プロパティパネルで実績を入れた場合も）</t>
  </si>
  <si>
    <t>案「実績の終了が、実績の開始より前になっています → 実績の開始と同じ日か、それより後の日を入れてください」</t>
  </si>
  <si>
    <t>語が空。RS-58 の実績版</t>
  </si>
  <si>
    <t>なし（validate-imported-document.ts:265・取込は黙る。編集 task-plan-actual.ts:355, 439 は RS-10）</t>
  </si>
  <si>
    <t>IV-22</t>
  </si>
  <si>
    <t>開いたファイルで、マイルストーンの形とマイルストーン属性が食い違うとき</t>
  </si>
  <si>
    <t>案「マイルストーンの形なのにマイルストーンでない（またはその逆の）タスクがあるので、このファイルは開けません」</t>
  </si>
  <si>
    <t>なし（schedule-invariants.ts:739。取込は黙る）</t>
  </si>
  <si>
    <t>RS-1</t>
  </si>
  <si>
    <t>保存・書き出し・コピー</t>
  </si>
  <si>
    <t>Ctrl+S（保存する）で上書き保存したとき、前に選んだファイルへの書き込み権限が切れていたとき（ブラウザを開き直した後など）</t>
  </si>
  <si>
    <t>このファイルへ書き込む権限が切れています</t>
  </si>
  <si>
    <t>もう一度ファイルを選び直すと、書き込めるようになります</t>
  </si>
  <si>
    <t>Permission to write to this file has lapsed
→ Choose the file again to restore permission</t>
  </si>
  <si>
    <t>保存できていないことは画面に出ない。告げないと編集が失われる</t>
  </si>
  <si>
    <t>src/framework/single-html-shell/frame-loop.ts:2833（raiseFileFault、対応表 878 permissionLost）</t>
  </si>
  <si>
    <t>RS-2</t>
  </si>
  <si>
    <t>F</t>
  </si>
  <si>
    <t>ファイルを開いていない（新規作成した）文書で Ctrl+S（保存する）を押したとき</t>
  </si>
  <si>
    <t>開いているファイルが無いので、上書きする先がありません</t>
  </si>
  <si>
    <t>保存先を選んで書き出してください</t>
  </si>
  <si>
    <t>No file is open, so there is nothing to overwrite
→ Choose a destination and write it out</t>
  </si>
  <si>
    <t>保存されていないことは画面に出ないので要る（できれば通知の代わりに『書き出して保存』の面を開くとなおよい）</t>
  </si>
  <si>
    <t>次の一手が RS-5 と同文</t>
  </si>
  <si>
    <t>src/framework/single-html-shell/frame-loop.ts:2833（対応表 879 noOpenedFile）</t>
  </si>
  <si>
    <t>RS-3</t>
  </si>
  <si>
    <t>このブラウザでファイル書き込み（またはクリップボード）が使えず、保存・書き出し・『画像をコピー』ができなかったとき</t>
  </si>
  <si>
    <t>この環境ではファイルへの書き込みが行えません</t>
  </si>
  <si>
    <t>別の保存先を選んで書き出してください</t>
  </si>
  <si>
    <t>Writing to a file is not available here
→ Choose another destination and write it out</t>
  </si>
  <si>
    <t>書けなかったことは画面に出ないので要る</t>
  </si>
  <si>
    <t>src/framework/single-html-shell/frame-loop.ts:3333／document-file-flow.ts:973, 996, 1037（SEAM_ABSENT_REASON）／対応表 880</t>
  </si>
  <si>
    <t>RS-76</t>
  </si>
  <si>
    <t>Ctrl+S（保存する）や『書き出して保存』が、権限など既知の理由以外で途中で失敗したとき</t>
  </si>
  <si>
    <t>ファイルへ書く途中で、思いがけない理由で失敗しました。ファイルに書けていないかもしれません</t>
  </si>
  <si>
    <t>別の保存先を選んで、もう一度書き出してください</t>
  </si>
  <si>
    <t>Writing to the file failed partway for an unexpected reason; the file may not hold it
→ Choose another destination and write it out once more</t>
  </si>
  <si>
    <t>ファイルに書けていないかもしれない（データが失われ得る）ので必ず告げる</t>
  </si>
  <si>
    <t>CR-705 で新設。次の一手は RS-3 とほぼ同文（クラスタ F にも近い）</t>
  </si>
  <si>
    <t>src/framework/single-html-shell/document-file-flow.ts:507（beginWritingDocumentFile の catch）</t>
  </si>
  <si>
    <t>RS-5</t>
  </si>
  <si>
    <t>SVG 画像・PNG 画像など書き出し専用の形式で開いたファイルへ上書き保存しようとしたとき</t>
  </si>
  <si>
    <t>この形式は書き出し専用なので、開いたファイルへは上書きできません</t>
  </si>
  <si>
    <t>This format only goes out, so it cannot overwrite the opened file
→ Choose a destination and write it out</t>
  </si>
  <si>
    <t>上書きされていないことは画面に出ないので要る</t>
  </si>
  <si>
    <t>次の一手が RS-2 と同文</t>
  </si>
  <si>
    <t>src/framework/single-html-shell/frame-loop.ts:2833（対応表 882 notAnOverwriteTarget）</t>
  </si>
  <si>
    <t>RS-40</t>
  </si>
  <si>
    <t>このビルドで未対応の形式で書き出そうとしたとき</t>
  </si>
  <si>
    <t>この形式は、このビルドではまだ書けません</t>
  </si>
  <si>
    <t>別の形式を選んでください</t>
  </si>
  <si>
    <t>This build cannot write this format yet
→ Choose another format</t>
  </si>
  <si>
    <t>出す箇所も場面も無い。辞書と表から退役させてよい</t>
  </si>
  <si>
    <t>書き出しの面には対応する形式しか並ばないので、出る場面が無い</t>
  </si>
  <si>
    <t>なし（型の和 frame-loop.ts:777 と作法の表 843 にあるだけで、出す箇所が無い）</t>
  </si>
  <si>
    <t>QN-4</t>
  </si>
  <si>
    <t>Ctrl+S（保存する）で上書きする先が、開いたときとは別の文書に変わっていたとき（別のアプリやタブで書き換えられた）</t>
  </si>
  <si>
    <t>開いたときと同じ文書ではありません。上書きしますか？ その間の変更が失われます</t>
  </si>
  <si>
    <t>This is not the document that was opened. Overwrite it? The changes made since will be lost</t>
  </si>
  <si>
    <t>他所での変更を上書きで失う。データ損失を防ぐ問いなので要る</t>
  </si>
  <si>
    <t>Yes / No、y / n、Esc = No</t>
  </si>
  <si>
    <t>src/framework/single-html-shell/document-file-flow.ts:456</t>
  </si>
  <si>
    <t>RS-43</t>
  </si>
  <si>
    <t>G</t>
  </si>
  <si>
    <t>SVG/PNG の書き出しや『画像をコピー』で、タスクグループ（行）が多すぎて描ける大きさを超えたとき</t>
  </si>
  <si>
    <t>行が多すぎて、この大きさでは描けません</t>
  </si>
  <si>
    <t>行を畳むか、期間を絞ってから書き出してください</t>
  </si>
  <si>
    <t>There are too many rows to draw at this size
→ Fold some rows or narrow the period, then export again</t>
  </si>
  <si>
    <t>書き出せなかったことと、どうすればよいかは画面に出ないので要る</t>
  </si>
  <si>
    <t>次の一手が RS-22 と同文</t>
  </si>
  <si>
    <t>src/framework/single-html-shell/frame-loop.ts:3343／document-file-flow.ts:954, 978</t>
  </si>
  <si>
    <t>RS-22</t>
  </si>
  <si>
    <t>（場面なし）書き出しで収まらないタスクがあったとき</t>
  </si>
  <si>
    <t>収まらないタスクがあるので、一部を描いていません</t>
  </si>
  <si>
    <t>Some tasks did not fit, so they are not drawn
→ Fold some rows or narrow the period, then export again</t>
  </si>
  <si>
    <t>仕様が出さないと定めており、出る場面も無い</t>
  </si>
  <si>
    <t>席番号を残すためだけの行</t>
  </si>
  <si>
    <t>なし（spec 表 T-233 が「上げる者はいない」と定め、型の和にも無い）</t>
  </si>
  <si>
    <t>RS-42</t>
  </si>
  <si>
    <t>PNG の書き出し・『画像をコピー』の描画や、単一 HTML の書き出しで原因の分からない失敗が起きたとき</t>
  </si>
  <si>
    <t>原因の分からない誤りが起きました</t>
  </si>
  <si>
    <t>記録を始めてから、もう一度お試しください。記録は止めると写されます</t>
  </si>
  <si>
    <t>Something went wrong and the cause is not known
→ Start the recording, try once more, and stop it to copy the record</t>
  </si>
  <si>
    <t>RS-15 と言うことが同じ。「書き出しを終えられませんでした → もう一度行ってください。続くときは…」の 1 文に寄せる</t>
  </si>
  <si>
    <t>次の一手が「記録を始めて…」で、デバッグ用ログ取得を知らない利用者には読みにくい。RS-15 と近い</t>
  </si>
  <si>
    <t>src/framework/single-html-shell/document-file-flow.ts:982, 1001（対応表 141-142、frame-loop.ts:953, 955）</t>
  </si>
  <si>
    <t>RS-68</t>
  </si>
  <si>
    <t>通知</t>
  </si>
  <si>
    <t>J</t>
  </si>
  <si>
    <t>ヘッダーの『画像をコピー』で日程の画像をクリップボードへコピーできたとき（成功）</t>
  </si>
  <si>
    <t>スケジュールをクリップボードにコピーしました</t>
  </si>
  <si>
    <t>The schedule was copied to the clipboard</t>
  </si>
  <si>
    <t>成功の知らせで、利用者にすることは無い</t>
  </si>
  <si>
    <t>成功の知らせなのに OK が要る。積みの上限に当たると RS-24 と 2 枚並ぶ（frame-loop.ts:3357）</t>
  </si>
  <si>
    <t>src/framework/single-html-shell/frame-loop.ts:3356</t>
  </si>
  <si>
    <t>RS-6</t>
  </si>
  <si>
    <t>編集操作（文書を変える操作の拒否・確認）</t>
  </si>
  <si>
    <t>A</t>
  </si>
  <si>
    <t>AI などが文書を書き換えた直後に、古い状態のまま画面で変更したとき</t>
  </si>
  <si>
    <t>文書が別の場所で変わったので、この変更は適用できません</t>
  </si>
  <si>
    <t>いまの文書を読み直してから、もう一度行ってください</t>
  </si>
  <si>
    <t>The document changed elsewhere, so this change was not applied
→ Read the current document again, then try once more</t>
  </si>
  <si>
    <t>RS-6/7/8/9 は内部の事情の言い分けで、利用者の手は「少し待ってもう一度」だけ。「いまは変更を受け付けられなかったので、行っていません → もう一度行ってください」の 1 文にまとめる</t>
  </si>
  <si>
    <t>src/framework/single-html-shell/frame-loop.ts:2840（raiseWriteRefusal、対応表 888 staleStamp）</t>
  </si>
  <si>
    <t>RS-7</t>
  </si>
  <si>
    <t>ドラッグの最中にキー操作や AI の書き込みが来たとき</t>
  </si>
  <si>
    <t>ドラッグの最中なので、この変更は適用できません</t>
  </si>
  <si>
    <t>ドラッグを終えてから、もう一度行ってください</t>
  </si>
  <si>
    <t>A drag is in progress, so this change was not applied
→ Finish the drag, then try once more</t>
  </si>
  <si>
    <t>RS-6 と同じ 1 文にまとめる</t>
  </si>
  <si>
    <t>src/framework/single-html-shell/frame-loop.ts:2840（対応表 889 gestureInFlight）</t>
  </si>
  <si>
    <t>RS-8</t>
  </si>
  <si>
    <t>タスク名などのその場の編集を確定しないまま、別の変更（ボタンやキー）をしたとき</t>
  </si>
  <si>
    <t>その場の編集が確定していないので、この変更は適用できません</t>
  </si>
  <si>
    <t>編集を確定するか取りやめてから、もう一度行ってください</t>
  </si>
  <si>
    <t>An in-place edit has not been committed, so this change was not applied
→ Commit or cancel the edit, then try once more</t>
  </si>
  <si>
    <t>RS-6 と同じ 1 文にまとめる（確定を促す一言は残してよい）</t>
  </si>
  <si>
    <t>src/framework/single-html-shell/frame-loop.ts:2840（対応表 890 editingInPlace）</t>
  </si>
  <si>
    <t>RS-9</t>
  </si>
  <si>
    <t>変更の通知を AI 側へ配っている最中に変更したとき</t>
  </si>
  <si>
    <t>通知を配っている最中なので、この変更は適用できません</t>
  </si>
  <si>
    <t>少し待ってから、もう一度行ってください</t>
  </si>
  <si>
    <t>Notices are being delivered, so this change was not applied
→ Wait a moment, then try once more</t>
  </si>
  <si>
    <t>利用者には意味が読みにくい内部事情</t>
  </si>
  <si>
    <t>src/framework/single-html-shell/frame-loop.ts:2840（対応表 893 deliveringNotices）</t>
  </si>
  <si>
    <t>RS-10</t>
  </si>
  <si>
    <t>まとめて行う変更の中に拒否されるものがあったとき（個別の理由の行に当たらない拒否はすべてここ）</t>
  </si>
  <si>
    <t>受け付けられない操作が含まれていたので、まとめて取りやめました</t>
  </si>
  <si>
    <t>受け付けられなかった操作を取り除いて、もう一度行ってください</t>
  </si>
  <si>
    <t>One of the changes was refused, so the whole set was dropped
→ Take out the refused change, then try once more</t>
  </si>
  <si>
    <t>変更が丸ごと行われなかったことは告げる必要がある。ただし個別の理由が潰れる問題は別に直す</t>
  </si>
  <si>
    <t>IV-2/6/9/11/12/14/21 の編集での拒否もここに潰れる（spec 表 T-233 の前文が禁じる形）</t>
  </si>
  <si>
    <t>src/framework/single-html-shell/frame-loop.ts:2840（対応表 894 refused。REFUSAL_SITUATIONS 905-914 に当たらない拒否）</t>
  </si>
  <si>
    <t>RS-27</t>
  </si>
  <si>
    <t>B</t>
  </si>
  <si>
    <t>押した操作に対象が無いとき（取り消す・やり直す履歴が無い、何も選ばずにコピー・貼り付け、担当者名簿で誰も選ばずに『削除』、問いや面が答えを待っている間に別の入口を押した 等）</t>
  </si>
  <si>
    <t>この操作は、いま行えることがありません</t>
  </si>
  <si>
    <t>対象ができてから、もう一度押してください</t>
  </si>
  <si>
    <t>There is nothing for this control to do right now
→ Try it again once there is something for it to act on</t>
  </si>
  <si>
    <t>押しても何も変わらないことは画面で分かる。毎回 OK を求めるのが最も煩わしい行</t>
  </si>
  <si>
    <t>src で 10 か所以上から出る。最も多く出る通知</t>
  </si>
  <si>
    <t>src/framework/single-html-shell/frame-loop.ts:3261, 3306, 3313, 3381／copy-and-paste.ts:52, 63, 69／file-flow-values.ts:282／screen-values.ts:548／対応表 892 questionAsked</t>
  </si>
  <si>
    <t>RS-24</t>
  </si>
  <si>
    <t>1 つのタスクグループ（行）に重なるタスクが多すぎて積めないとき（タスクの作成・貼り付け・描画・画像の書き出しとコピー）</t>
  </si>
  <si>
    <t>1 つの行に重なるタスクが多すぎるので、これ以上積めません</t>
  </si>
  <si>
    <t>重なっているタスクを別の行へ移すか、日付をずらしてください</t>
  </si>
  <si>
    <t>Too many tasks overlap on one row, so no more can be stacked
→ Move some of the overlapping tasks to another row, or shift their dates</t>
  </si>
  <si>
    <t>描かれない・作られないタスクがあることは画面からは読みにくい</t>
  </si>
  <si>
    <t>描画のたびにも立ち得る（frame-loop.ts:2551、新しく当たったときだけ）。画像コピーでは成功通知 RS-68 と並ぶ</t>
  </si>
  <si>
    <t>src/framework/single-html-shell/frame-loop.ts:2551, 3357／copy-and-paste.ts:73, 112／document-file-flow.ts:922</t>
  </si>
  <si>
    <t>RS-53</t>
  </si>
  <si>
    <t>コマンドパレットでバーの形状（矩形・矢羽根など）を構えたまま、引かずにクリックしたとき</t>
  </si>
  <si>
    <t>タスクは期間を持つので、引かないと作れません</t>
  </si>
  <si>
    <t>始める日から終わる日まで引いてください。点を置きたいときはマイルストーンを使います</t>
  </si>
  <si>
    <t>A task has a span, so it is not created without a drag
→ Drag from the start day to the finish day. To place a point, use a milestone</t>
  </si>
  <si>
    <t>使い方の案内であり、失うものは無い。読めれば足りる</t>
  </si>
  <si>
    <t>src/framework/single-html-shell/frame-loop.ts:3381（対応表 982 barShapeReleasedWithoutADrag）</t>
  </si>
  <si>
    <t>RS-54</t>
  </si>
  <si>
    <t>コマンドパレットで構えた形状を、当てられない選択物（注記など）に当てようとしたとき</t>
  </si>
  <si>
    <t>構えている形状は、選んでいるものには当てられません</t>
  </si>
  <si>
    <t>構えはそのまま使えます。選択を解いて、空いている所に引いてください</t>
  </si>
  <si>
    <t>The armed shape cannot be applied to what is selected
→ The arming is still live; clear the selection and drag on empty space</t>
  </si>
  <si>
    <t>構えは残り、何も失われない案内なので自然に消えてよい</t>
  </si>
  <si>
    <t>src/framework/single-html-shell/frame-loop.ts:906（REFUSAL_SITUATIONS CM-20）→ 2840</t>
  </si>
  <si>
    <t>RS-57</t>
  </si>
  <si>
    <t>同じ ID のもの（タスクグループ・注記など）を作ろうとしたとき（主に AI の書き込みや貼り付け）</t>
  </si>
  <si>
    <t>同じ id のものが、この文書に既にあります</t>
  </si>
  <si>
    <t>別の id を与えてください</t>
  </si>
  <si>
    <t>Something with the same id is already in this document
→ Give it a different id</t>
  </si>
  <si>
    <t>作られなかった理由は画面に出ないので要る</t>
  </si>
  <si>
    <t>IV-1 と同じ条件</t>
  </si>
  <si>
    <t>src/framework/single-html-shell/frame-loop.ts:909（REFUSAL_SITUATIONS IV-1）→ 2840</t>
  </si>
  <si>
    <t>RS-58</t>
  </si>
  <si>
    <t>プロパティパネルやドラッグでタスクの予定終了日を予定開始日より前にしたとき</t>
  </si>
  <si>
    <t>終了の日が、開始の日より前になっています</t>
  </si>
  <si>
    <t>開始と同じ日か、それより後の日を入れてください</t>
  </si>
  <si>
    <t>The finish day is before the start day
→ Enter the same day as the start, or a later one</t>
  </si>
  <si>
    <t>値が元に戻るのは画面で見える。理由だけ読めればよく、OK は要らない</t>
  </si>
  <si>
    <t>IV-10 と同じ条件</t>
  </si>
  <si>
    <t>src/framework/single-html-shell/frame-loop.ts:910-913（REFUSAL_SITUATIONS CM-6/11/88/90）→ 2840</t>
  </si>
  <si>
    <t>RS-44</t>
  </si>
  <si>
    <t>コメントボックス・ハイライトボックスを、タスクグループ（行）の無い場所に置こうとしたとき</t>
  </si>
  <si>
    <t>そこには注記を置く行がありません</t>
  </si>
  <si>
    <t>行の上で置いてください</t>
  </si>
  <si>
    <t>There is no row there to put the annotation on
→ Place it over a row</t>
  </si>
  <si>
    <t>置かれなかったことは画面で見える。理由の案内だけでよい</t>
  </si>
  <si>
    <t>src/framework/single-html-shell/frame-loop.ts:3381（対応表 980 noRowToPutTheAnnotationOn）</t>
  </si>
  <si>
    <t>RS-34</t>
  </si>
  <si>
    <t>揃える相手のタスクを選ばずに『開始日で揃える』『終了日で揃える』を押したとき</t>
  </si>
  <si>
    <t>揃える相手のタスクが選ばれていません</t>
  </si>
  <si>
    <t>タスクを選んでから、もう一度押してください</t>
  </si>
  <si>
    <t>No task is chosen to align
→ Choose a task first, then press again</t>
  </si>
  <si>
    <t>何をすればよいか（先に選ぶ）は案内が要るが、失うものは無いので OK は要らない</t>
  </si>
  <si>
    <t>src/framework/single-html-shell/frame-loop.ts:3381（対応表 975 noTaskChosenToAlignWith）</t>
  </si>
  <si>
    <t>RS-49</t>
  </si>
  <si>
    <t>（入口未実装）担当者名簿で担当者の名前を変えたとき</t>
  </si>
  <si>
    <t>担当者の名前を変えました。この担当者が付いているタスクの表示が変わります</t>
  </si>
  <si>
    <t>変えたくないものが含まれていたときは、元に戻してください</t>
  </si>
  <si>
    <t>The assignee has been renamed, and every task they are on now shows the new name
→ Undo it if that reached something you did not mean to rename</t>
  </si>
  <si>
    <t>名前の変化はタスクの表示で見え、取り消しで戻せる。入口ができても通知は要らない</t>
  </si>
  <si>
    <t>件数付き（NT-3）の予定</t>
  </si>
  <si>
    <t>なし（型の和にも無い。改名の入口 AS-1 が未実装と spec が明記）</t>
  </si>
  <si>
    <t>RS-61</t>
  </si>
  <si>
    <t>N</t>
  </si>
  <si>
    <t>編集グループが設定された（読み取り専用の）タスクグループ（行）を編集しようとしたとき</t>
  </si>
  <si>
    <t>この行は読み取り専用です（編集グループが設定されています）</t>
  </si>
  <si>
    <t>編集グループの無い行へコピーしてから編集してください</t>
  </si>
  <si>
    <t>This row is read-only (an edit group is set on it)
→ Copy it into a row with no edit group, then edit it</t>
  </si>
  <si>
    <t>実装されたら、編集できない理由は画面から分からないので要る</t>
  </si>
  <si>
    <t>RS-62 と対</t>
  </si>
  <si>
    <t>なし（src に FR-111 の参照が 0 件。編集グループ自体が未実装）</t>
  </si>
  <si>
    <t>QN-1</t>
  </si>
  <si>
    <t>K</t>
  </si>
  <si>
    <t>タスクグループパネル（行見出しパネル）の『行を削除』でタスクの載ったタスクグループ（行）を削除するとき</t>
  </si>
  <si>
    <t>この行と、行に載っているタスクを削除しますか？</t>
  </si>
  <si>
    <t>Delete this row and the tasks on it?</t>
  </si>
  <si>
    <t>タスクがまとめて消えるので、名前を見せて問うのは要る</t>
  </si>
  <si>
    <t>消えるタスク名を一覧。文中の「行」は CR-708（下書き）で「タスクグループ」に変わる予定</t>
  </si>
  <si>
    <t>src/use-case/edit-document/deletion-confirmations.ts:58</t>
  </si>
  <si>
    <t>QN-2</t>
  </si>
  <si>
    <t>配下（WBS の子孫）を持つタスクを削除するとき</t>
  </si>
  <si>
    <t>このタスクと、その配下のタスクを削除しますか？</t>
  </si>
  <si>
    <t>Delete this task and the tasks under it?</t>
  </si>
  <si>
    <t>選んでいない配下のタスクも消えるので問うのは要る</t>
  </si>
  <si>
    <t>QN-10</t>
  </si>
  <si>
    <t>タスクグループパネル（行見出しパネル）の頭の『すべての行を削除』を押したとき</t>
  </si>
  <si>
    <t>すべての行と、行に載っているタスクを削除しますか？</t>
  </si>
  <si>
    <t>Delete all rows and the tasks on them?</t>
  </si>
  <si>
    <t>文書の中身がすべて消えるので要る</t>
  </si>
  <si>
    <t>QN-1 の全行版</t>
  </si>
  <si>
    <t>src/adapter/input-command-translator/row-tree-entrances.ts:143</t>
  </si>
  <si>
    <t>QN-3</t>
  </si>
  <si>
    <t>担当者名簿で、タスクに割り当て中の担当者を『削除』するとき</t>
  </si>
  <si>
    <t>選んでいる担当者を削除しますか？ 下のタスクの割り当てが外れます</t>
  </si>
  <si>
    <t>Delete the selected resources? They will be unassigned from the tasks below</t>
  </si>
  <si>
    <t>割り当てが外れるタスクを名前で見せる必要がある</t>
  </si>
  <si>
    <t>割り当てが外れるタスク名を一覧</t>
  </si>
  <si>
    <t>src/use-case/edit-document/deletion-confirmations.ts:17</t>
  </si>
  <si>
    <t>shownOnAnotherRow</t>
  </si>
  <si>
    <t>QN-1・QN-2・QN-10 の削除の確認の一覧で、別のタスクグループ（行）にも表示されているタスクに添える</t>
  </si>
  <si>
    <t>別の行に表示中</t>
  </si>
  <si>
    <t>shown on another row</t>
  </si>
  <si>
    <t>消すと別の場所の表示も消えることを知らせる付記で、問いの一部</t>
  </si>
  <si>
    <t>確認の付記（単独では出ない）。「行」は CR-708 で変わる予定</t>
  </si>
  <si>
    <t>src/framework/dom-screen-surface/notices-drawing.ts:127</t>
  </si>
  <si>
    <t>RS-36</t>
  </si>
  <si>
    <t>タスクグループの階層・移動</t>
  </si>
  <si>
    <t>C</t>
  </si>
  <si>
    <t>タスクグループパネルで、すぐ上に兄弟の無いタスクグループ（行）を一段深くしようとしたとき</t>
  </si>
  <si>
    <t>すぐ上に兄弟が無いので、これ以上深い段へは動かせません</t>
  </si>
  <si>
    <t>一つ上へ動かしてから、もう一度お試しください</t>
  </si>
  <si>
    <t>There is no row directly above this one to become a child of
→ Move it up one place first, then try again</t>
  </si>
  <si>
    <t>動かなかったことは画面で見える。理由の案内だけでよい</t>
  </si>
  <si>
    <t>src/framework/single-html-shell/frame-loop.ts:3381（対応表 976）</t>
  </si>
  <si>
    <t>RS-37</t>
  </si>
  <si>
    <t>いちばん浅い段のタスクグループ（行）をさらに浅くしようとしたとき</t>
  </si>
  <si>
    <t>いちばん浅い段に居るので、これ以上浅い段へは動かせません</t>
  </si>
  <si>
    <t>上下に動かすことはできます</t>
  </si>
  <si>
    <t>This row is already at the shallowest level
→ You can still move it up or down</t>
  </si>
  <si>
    <t>動かなかったことは画面で見える</t>
  </si>
  <si>
    <t>src/framework/single-html-shell/frame-loop.ts:3381（対応表 977）</t>
  </si>
  <si>
    <t>RS-38</t>
  </si>
  <si>
    <t>段の上限にあるタスクグループ（行）をさらに深くしようとしたとき</t>
  </si>
  <si>
    <t>段の上限に達しているので、これ以上深い段へは動かせません</t>
  </si>
  <si>
    <t>上限は文書の設定で変えられます</t>
  </si>
  <si>
    <t>The level limit has been reached, so this cannot go any deeper
→ The limit can be changed in the document settings</t>
  </si>
  <si>
    <t>RS-46 と 1 文にまとめ「段の上限に達しているので、これ以上深くできません → 上限は文書の設定で変えられます」とし、自然に消える表示にする</t>
  </si>
  <si>
    <t>RS-46 とほぼ同じ（同じ深さの上限）</t>
  </si>
  <si>
    <t>src/framework/single-html-shell/frame-loop.ts:3381（対応表 978）</t>
  </si>
  <si>
    <t>RS-46</t>
  </si>
  <si>
    <t>段の上限にあるタスクグループ（行）の下に『配下に追加』で追加しようとしたとき</t>
  </si>
  <si>
    <t>これ以上深い段には行を追加できません</t>
  </si>
  <si>
    <t>もっと浅い行に追加してください</t>
  </si>
  <si>
    <t>A row cannot be added any deeper than this
→ Add it to a shallower row</t>
  </si>
  <si>
    <t>RS-38 と同じ 1 文にまとめる</t>
  </si>
  <si>
    <t>RS-38 とほぼ同じ</t>
  </si>
  <si>
    <t>src/framework/single-html-shell/frame-loop.ts:3381（対応表 981）</t>
  </si>
  <si>
    <t>RS-39</t>
  </si>
  <si>
    <t>タスクグループ（行）を上下へ移動するとき、その向きに置ける場所が無いとき（いちばん上で上へ 等）</t>
  </si>
  <si>
    <t>その向きに置ける場所が無いので、これ以上動かせません</t>
  </si>
  <si>
    <t>逆の向きへは動かせます</t>
  </si>
  <si>
    <t>There is nowhere further in that direction to put this row
→ It can still be moved the other way</t>
  </si>
  <si>
    <t>端で止まるのは画面で明らかで、案内も要らない</t>
  </si>
  <si>
    <t>src/framework/single-html-shell/frame-loop.ts:3381（対応表 979）</t>
  </si>
  <si>
    <t>RS-55</t>
  </si>
  <si>
    <t>タスクグループ（行）やタスクを、自分自身や自分の配下の中へドラッグで動かそうとしたとき</t>
  </si>
  <si>
    <t>自分自身や、その下にある行の中へは動かせません</t>
  </si>
  <si>
    <t>先に外へ出してから、親にしたい行の下へ動かしてください</t>
  </si>
  <si>
    <t>A row cannot be moved under itself or under one of its own descendants
→ Move it out first, then under the row you want as its parent</t>
  </si>
  <si>
    <t>IV-4・IV-18（輪）と近い</t>
  </si>
  <si>
    <t>src/framework/single-html-shell/frame-loop.ts:907（REFUSAL_SITUATIONS HM-4）→ 2840</t>
  </si>
  <si>
    <t>RS-28</t>
  </si>
  <si>
    <t>表示（折り畳み・表示切替・検索・全画面）</t>
  </si>
  <si>
    <t>タスクグループパネルで『1 階層だけ開く』を押したが、開ける配下が無いとき</t>
  </si>
  <si>
    <t>開く配下のタスクグループがありません</t>
  </si>
  <si>
    <t>配下を畳んでから、もう一度押してください</t>
  </si>
  <si>
    <t>There is no folded group under this row to open
→ Fold something under this row first, then press again</t>
  </si>
  <si>
    <t>押しても何も変わらないことは画面で分かる（クラスタ B）</t>
  </si>
  <si>
    <t>src/framework/single-html-shell/frame-loop.ts:3381（対応表 969）</t>
  </si>
  <si>
    <t>RS-29</t>
  </si>
  <si>
    <t>『畳む』（配下をすべて畳む）を押したが、描かれている子が無いとき</t>
  </si>
  <si>
    <t>この行は、描かれている子を 1 つも持っていません</t>
  </si>
  <si>
    <t>配下の行を戻してから、もう一度押してください</t>
  </si>
  <si>
    <t>This row draws no child, so there is nothing to fold away
→ Bring a row under this one back first, then press again</t>
  </si>
  <si>
    <t>押しても何も変わらないことは画面で分かる</t>
  </si>
  <si>
    <t>src/framework/single-html-shell/frame-loop.ts:3381（対応表 970）</t>
  </si>
  <si>
    <t>RS-30</t>
  </si>
  <si>
    <t>隠した子を戻す操作を押したが、戻せる子が無いとき</t>
  </si>
  <si>
    <t>この行の直下に、画面へ戻せる子がありません</t>
  </si>
  <si>
    <t>配下を畳むか、直下の行を隠してから、もう一度押してください</t>
  </si>
  <si>
    <t>No child of this row is out of the picture to bring back
→ Fold what is under this row, or hide one of its children, then press again</t>
  </si>
  <si>
    <t>src/framework/single-html-shell/frame-loop.ts:3381（対応表 971）</t>
  </si>
  <si>
    <t>RS-31</t>
  </si>
  <si>
    <t>『すべて展開する』を押したが、既にすべて開いているとき</t>
  </si>
  <si>
    <t>すべての行が、もう開いて描かれています</t>
  </si>
  <si>
    <t>どれかの行を畳むか、縦に縮小してから、もう一度押してください</t>
  </si>
  <si>
    <t>Every row is already open and drawn
→ Fold a row or zoom out vertically, then press again</t>
  </si>
  <si>
    <t>入口が薄く描かれていて、押せないことは既に見えている</t>
  </si>
  <si>
    <t>入口は薄く描かれる</t>
  </si>
  <si>
    <t>src/framework/single-html-shell/frame-loop.ts:3381（対応表 972）</t>
  </si>
  <si>
    <t>RS-32</t>
  </si>
  <si>
    <t>『すべて畳む』を押したが、開いているタスクグループ（行）が無いとき</t>
  </si>
  <si>
    <t>開いている行が 1 つもありません</t>
  </si>
  <si>
    <t>どれかの行を開いてから、もう一度押してください</t>
  </si>
  <si>
    <t>No row is open
→ Open a row first, then press again</t>
  </si>
  <si>
    <t>src/framework/single-html-shell/frame-loop.ts:3381（対応表 973）</t>
  </si>
  <si>
    <t>RS-33</t>
  </si>
  <si>
    <t>『予定の表示切替』『実績の表示切替』で、出ている最後の一方を隠そうとしたとき</t>
  </si>
  <si>
    <t>予定と実績の両方を隠すことはできません</t>
  </si>
  <si>
    <t>もう一方を出してから、もう一度押してください</t>
  </si>
  <si>
    <t>The plan and the actual cannot both be hidden
→ Show the other one first, then press again</t>
  </si>
  <si>
    <t>なぜ隠れないかは画面から読めないので一言は要るが、OK は要らない</t>
  </si>
  <si>
    <t>src/framework/single-html-shell/frame-loop.ts:3381（対応表 974）</t>
  </si>
  <si>
    <t>RS-66</t>
  </si>
  <si>
    <t>検索パネルの結果の行を押して飛ぼうとしたが、ピン止めしたタスクグループ（行）が多くて画面に出せないとき</t>
  </si>
  <si>
    <t>ピン止め行が多くて検索結果を表示できません。</t>
  </si>
  <si>
    <t>ピン止めを減らしてください。</t>
  </si>
  <si>
    <t>Too many pinned rows to show the search result.
→ Unpin some rows.</t>
  </si>
  <si>
    <t>飛べなかった理由（ピン止めが多い）は画面から分からない</t>
  </si>
  <si>
    <t>文末の「。」が他の行と不揃い</t>
  </si>
  <si>
    <t>src/framework/single-html-shell/frame-loop.ts:1851</t>
  </si>
  <si>
    <t>RS-59</t>
  </si>
  <si>
    <t>ヘッダーの『全画面表示』を押したが、ブラウザが全画面表示を認めなかったとき</t>
  </si>
  <si>
    <t>ブラウザが全画面表示を認めませんでした</t>
  </si>
  <si>
    <t>ブラウザのメニューから全画面表示にしてください</t>
  </si>
  <si>
    <t>The browser did not allow full screen
→ Use the browser's own menu to go full screen</t>
  </si>
  <si>
    <t>代わりの手（ブラウザのメニュー）を告げる必要がある</t>
  </si>
  <si>
    <t>src/framework/single-html-shell/frame-loop.ts:3503</t>
  </si>
  <si>
    <t>RS-56</t>
  </si>
  <si>
    <t>依存関係・WBS の親子</t>
  </si>
  <si>
    <t>『依存線を引く』で、同じタスクから同じタスクへ線を引こうとしたとき（自己依存）</t>
  </si>
  <si>
    <t>同じタスクを、依存の前と後ろの両方にはできません</t>
  </si>
  <si>
    <t>別のタスクへ引いてください</t>
  </si>
  <si>
    <t>One task cannot be both ends of a dependency
→ Draw the line to a different task</t>
  </si>
  <si>
    <t>線が引かれないことは見える。理由の案内だけでよい</t>
  </si>
  <si>
    <t>src/framework/single-html-shell/frame-loop.ts:908（REFUSAL_SITUATIONS CM-36）→ 2840</t>
  </si>
  <si>
    <t>RS-69</t>
  </si>
  <si>
    <t>『親定義』を構えて、マイルストーンの上で離したとき</t>
  </si>
  <si>
    <t>マイルストーンは開始ー終了の期間を持たないため親タスクとして定義できません</t>
  </si>
  <si>
    <t>期間を持つタスクへ引いてください</t>
  </si>
  <si>
    <t>A milestone has no start-to-finish span, so it cannot be a parent task
→ Drag to a task that has a span</t>
  </si>
  <si>
    <t>案「マイルストーンは期間を持たないので、親タスクにはできません → 期間を持つタスクへ引いてください」（長音符の誤記も直す）。表示は自然に消えるでよい</t>
  </si>
  <si>
    <t>文中の「開始ー終了」は長音符（ー）でダッシュではない</t>
  </si>
  <si>
    <t>src/framework/single-html-shell/frame-loop.ts:3381（対応表 983）</t>
  </si>
  <si>
    <t>RS-70</t>
  </si>
  <si>
    <t>『親子判別』で出る、期間から推定された仮の親子の矢印（破線）を選ぶ／消そうとしたとき</t>
  </si>
  <si>
    <t>期間から推定された仮の親子関係は選択・削除できません</t>
  </si>
  <si>
    <t>確定するには、親定義を構えて子から親へ引いてください</t>
  </si>
  <si>
    <t>A parent inferred from the dates cannot be selected or deleted
→ To make it definite, arm Set a WBS Parent and drag from the child to the parent</t>
  </si>
  <si>
    <t>確定する道の案内は役に立つが、失うものは無い</t>
  </si>
  <si>
    <t>src/framework/single-html-shell/frame-loop.ts:3381（対応表 984）</t>
  </si>
  <si>
    <t>QN-12</t>
  </si>
  <si>
    <t>範囲選択でタスクと親子の矢印が一緒に選ばれたとき（ポインタの近くに 2 択の面が立つ）</t>
  </si>
  <si>
    <t>タスクと親子関係の矢印が一緒に選ばれました。どちらを選びますか</t>
  </si>
  <si>
    <t>Tasks and parent arrows are selected together. Which do you want to select?</t>
  </si>
  <si>
    <t>どちらを選ぶかは利用者にしか決められない</t>
  </si>
  <si>
    <t>Yes / No ではなく wbsParentChoice の 2 択。Esc か面の外を押すと選ばずに閉じる</t>
  </si>
  <si>
    <t>src/adapter/screen-renderer/notices.ts:36</t>
  </si>
  <si>
    <t>RS-41</t>
  </si>
  <si>
    <t>設定・透かし・リセット</t>
  </si>
  <si>
    <t>『透かしを消す（パスワードが必要）』の面で、透かし解除パスワードが違うとき</t>
  </si>
  <si>
    <t>透かし解除パスワードが合いません</t>
  </si>
  <si>
    <t>もう一度入れてください</t>
  </si>
  <si>
    <t>That is not the watermark unlock password
→ Try entering it again</t>
  </si>
  <si>
    <t>違ったことは告げないと分からない（できれば面の中に出す）</t>
  </si>
  <si>
    <t>src/use-case/advance-screen-session/screen-values.ts:734</t>
  </si>
  <si>
    <t>QN-9</t>
  </si>
  <si>
    <t>『透かしを消す（パスワードが必要）』を押したとき（パスワード入力の面）</t>
  </si>
  <si>
    <t>透かしを消すには、透かし解除パスワードが要ります。透かしはアクセス制御ではなく、画面に出した証跡です</t>
  </si>
  <si>
    <t>Hiding the watermark needs the watermark unlock password. The watermark is a record that this was on screen, not access control</t>
  </si>
  <si>
    <t>パスワードを入れる面そのものであり、無くせない</t>
  </si>
  <si>
    <t>問いというより入力の面の説明文</t>
  </si>
  <si>
    <t>src/adapter/screen-renderer/open-modals.ts:125（面 U-60）</t>
  </si>
  <si>
    <t>RS-19</t>
  </si>
  <si>
    <t>（出さない）透かしに出す名前が未設定のとき</t>
  </si>
  <si>
    <t>透かしに出す名前が、まだ設定されていません</t>
  </si>
  <si>
    <t>名前を設定すると、透かしにその名前が出ます</t>
  </si>
  <si>
    <t>The name the watermark prints has not been set
→ Set a name and the watermark prints it</t>
  </si>
  <si>
    <t>仕様が出さないと定めている</t>
  </si>
  <si>
    <t>NT-4</t>
  </si>
  <si>
    <t>なし（spec が「いまは告げてはならない」と定める。型の和にも無い）</t>
  </si>
  <si>
    <t>QN-11</t>
  </si>
  <si>
    <t>ヘルプの『GRS リセット』を押したとき</t>
  </si>
  <si>
    <t>GRS をリセットしますか？ GRS がこのブラウザに覚えた値（画面の言語など）を消して、ページを読み直します。保存していない編集があれば、それも失われます
※ リセットしても不具合が直らない場合、以下をお試しください。
Ctrl + F5 : 再読み込み
F12（開発者ツール）→ Application（Firefox では「ストレージ」）→ GRS のローカルストレージをクリア</t>
  </si>
  <si>
    <t>Reset GRS? What GRS keeps in this browser (such as the screen language) is cleared and the page is reloaded. Unsaved edits, if any, are lost too
* If resetting does not fix the problem, try the following.
Ctrl + F5 : reload
F12 (developer tools) → Application (Storage in Firefox) → clear GRS's local storage</t>
  </si>
  <si>
    <t>覚えた値を消してページを読み直す取り消せない操作なので、問うのは要る</t>
  </si>
  <si>
    <t>未保存の編集が無くても問う（frame-loop.ts:2126 の WHY）。最も長い文（4 行）</t>
  </si>
  <si>
    <t>src/framework/single-html-shell/frame-loop.ts:2132</t>
  </si>
  <si>
    <t>RS-20</t>
  </si>
  <si>
    <t>AI / MCP（Agent API）</t>
  </si>
  <si>
    <t>ヘッダーの『Agent API』で Agent API を無効にしたとき</t>
  </si>
  <si>
    <t>無効にしても、既に渡した参照は取り消せません</t>
  </si>
  <si>
    <t>いま有効かどうかは、画面上の表示で確かめてください</t>
  </si>
  <si>
    <t>Disabling it does not take back references already handed out
→ Check the on-screen indicator for whether it is enabled now</t>
  </si>
  <si>
    <t>既に渡した参照が生きていることは画面から分からず、安全に関わる</t>
  </si>
  <si>
    <t>src/use-case/advance-screen-session/agent-api-values.ts:67</t>
  </si>
  <si>
    <t>RS-23</t>
  </si>
  <si>
    <t>画面で編集した後、監視している AI 側へ変更の通知が届かなかったとき</t>
  </si>
  <si>
    <t>変更の通知を配れなかった相手があります</t>
  </si>
  <si>
    <t>相手が受け取れる状態か確かめて、もう一度編集してください</t>
  </si>
  <si>
    <t>A change notice could not be delivered to one of the watchers
→ Check that the watcher can receive, then edit once more</t>
  </si>
  <si>
    <t>人の編集は通っており、AI 側の事情を知らせるだけ。編集のたびに OK を求めるのは重い</t>
  </si>
  <si>
    <t>人の編集のたびに出得る</t>
  </si>
  <si>
    <t>src/use-case/advance-screen-session/notice-values.ts:139</t>
  </si>
  <si>
    <t>RS-62</t>
  </si>
  <si>
    <t>AI（Agent API）がタスクグループ（行）の編集グループを書き換えようとしたとき</t>
  </si>
  <si>
    <t>編集権限は人だけが変えられます</t>
  </si>
  <si>
    <t>プロパティパネルで、人に入れてもらってください</t>
  </si>
  <si>
    <t>Only a person can change the edit permission
→ Ask a person to set it in the properties panel</t>
  </si>
  <si>
    <t>拒否は AI に返れば足り、画面の利用者がすることは無い</t>
  </si>
  <si>
    <t>RS-61 と対。AI への拒否で、画面に出すかも決まっていない</t>
  </si>
  <si>
    <t>なし（src に FR-111 の参照が 0 件）</t>
  </si>
  <si>
    <t>RS-65</t>
  </si>
  <si>
    <t>ヘッダーの『日程の画像をデータ化するプロンプト』でプロンプトをクリップボードへコピーできたとき（成功）</t>
  </si>
  <si>
    <t>クリップボードに貼り付けたプロンプトをAIに渡してください。</t>
  </si>
  <si>
    <t>冒頭部分は適宜編集してください。</t>
  </si>
  <si>
    <t>Paste the prompt from the clipboard into an AI.
→ Edit its opening part as needed.</t>
  </si>
  <si>
    <t>成功の知らせで、次にすること（AI に貼る）は読めれば足りる</t>
  </si>
  <si>
    <t>成功の知らせ。文末の「。」が他の行と不揃い</t>
  </si>
  <si>
    <t>src/framework/single-html-shell/frame-loop.ts:3496</t>
  </si>
  <si>
    <t>RS-74</t>
  </si>
  <si>
    <t>確認の問いが答えを待っている最中に、AI（Agent API）が文書へ書き込もうとしたとき</t>
  </si>
  <si>
    <t>確認の問いが答えを待っている最中なので、この変更は適用できません</t>
  </si>
  <si>
    <t>画面の問いに答えが出てから、もう一度行ってください</t>
  </si>
  <si>
    <t>A question is waiting for its answer, so this change was not applied
→ Once the question on the screen has been answered, try once more</t>
  </si>
  <si>
    <t>AI に返る理由であり、画面の利用者に出す必要は無い（今も出ていない）</t>
  </si>
  <si>
    <t>CR-692 で新設。AI への拒否理由</t>
  </si>
  <si>
    <t>なし（画面には出ない。Agent API の拒否の値 questionAsked として AI に返る: agent-api-members.ts:499、snapshot-source.ts:36。画面からの書き込みは RS-27 で告げる frame-loop.ts:892）</t>
  </si>
  <si>
    <t>RS-15</t>
  </si>
  <si>
    <t>その他（落ち先・状態表示・ブラウザ）</t>
  </si>
  <si>
    <t>理由の行が無い失敗のとき（クリップボードへの書き込み失敗、単一 HTML の器が無い、遅延診断レポートのコピー失敗 等）</t>
  </si>
  <si>
    <t>操作を終えられませんでした</t>
  </si>
  <si>
    <t>もう一度行ってください。続くときは、直前の操作を控えてください</t>
  </si>
  <si>
    <t>The operation could not be completed
→ Try once more; if it keeps happening, note what you did</t>
  </si>
  <si>
    <t>失敗したことは告げる必要がある。RS-42 をここへ寄せる</t>
  </si>
  <si>
    <t>全理由の落ち先。RS-42・RS-75・RS-76 と近い</t>
  </si>
  <si>
    <t>src/framework/single-html-shell/frame-loop.ts:2695, 3355, 3490, 3496／document-file-flow.ts:1001（appShellUnavailable）／notices.ts:42（語の無い理由の落ち先）</t>
  </si>
  <si>
    <t>QN-8</t>
  </si>
  <si>
    <t>表 T-234 に行の無い問いが立ったときの落ち先（取り消せない変更の前）</t>
  </si>
  <si>
    <t>この操作を続けますか？ 取り消しで戻せない変更が起きます</t>
  </si>
  <si>
    <t>Go on? This makes a change that undo cannot bring back</t>
  </si>
  <si>
    <t>落ち先として残す（取り消せない変更の前に問う最後の網）</t>
  </si>
  <si>
    <t>落ち先専用で、いま出る場面は無い</t>
  </si>
  <si>
    <t>src/adapter/screen-renderer/notices.ts:44</t>
  </si>
  <si>
    <t>FR-100</t>
  </si>
  <si>
    <t>未保存の編集があるまま、ブラウザのタブを閉じる／再読み込みするとき</t>
  </si>
  <si>
    <t>（ブラウザ標準の文言。GRS は文言を決めない）</t>
  </si>
  <si>
    <t>未保存の編集が失われる場面だけに出ており、要る</t>
  </si>
  <si>
    <t>ブラウザ標準の「このサイトを離れますか？」等。GRS は文言を決めない。未保存の編集が無いときは出ない</t>
  </si>
  <si>
    <t>src/framework/single-html-shell/single-html-shell.ts:666（beforeunload）</t>
  </si>
  <si>
    <t>scaleEcho.max</t>
  </si>
  <si>
    <t>不要</t>
  </si>
  <si>
    <t>ヘッダーの『大きく表示』で表示の倍率が最大に達したとき（「125%（最大）」の形）。縦に拡大の端（ZE-5）も同じ語</t>
  </si>
  <si>
    <t>（最大）</t>
  </si>
  <si>
    <t xml:space="preserve"> (max)</t>
  </si>
  <si>
    <t>既に OK 不要で自然に消える。他の行を自然に消す表示にするときの見本になる</t>
  </si>
  <si>
    <t>時間で消える（SE-3、S-244）。通知の欄ではない（SE-5）</t>
  </si>
  <si>
    <t>src/adapter/screen-renderer/app-header-items.ts:246／frame-loop.ts:2738</t>
  </si>
  <si>
    <t>scaleEcho.min</t>
  </si>
  <si>
    <t>ヘッダーの『小さく表示』で表示の倍率が最小に達したとき</t>
  </si>
  <si>
    <t>（最小）</t>
  </si>
  <si>
    <t xml:space="preserve"> (min)</t>
  </si>
  <si>
    <t>既に自然に消える</t>
  </si>
  <si>
    <t>scaleEcho.max と対</t>
  </si>
  <si>
    <t>fileStatus.neverSaved</t>
  </si>
  <si>
    <t>ヘッダーで、一度もファイルへ保存していない文書の状態として常に出る</t>
  </si>
  <si>
    <t>ファイル未保存</t>
  </si>
  <si>
    <t>Not saved to a file</t>
  </si>
  <si>
    <t>OK の要らない状態表示で、未保存を知る手がかり</t>
  </si>
  <si>
    <t>状態表示（常時）</t>
  </si>
  <si>
    <t>src/adapter/screen-renderer/app-header-items.ts:238</t>
  </si>
  <si>
    <t>searchPanel.nothingChecked</t>
  </si>
  <si>
    <t>検索パネルの『チェックしたものだけ表示』が、［表示］列のチェックが 0 件で押せないときに添える理由（TV-5）</t>
  </si>
  <si>
    <t>チェックが 0 件です</t>
  </si>
  <si>
    <t>Nothing is checked</t>
  </si>
  <si>
    <t>OK の要らないパネル内の状態表示</t>
  </si>
  <si>
    <t>押せない入口の理由の表示（通知の欄ではない）</t>
  </si>
  <si>
    <t>src/adapter/screen-renderer/search-panel.ts:272（entryRefusalsOf）</t>
  </si>
  <si>
    <t>searchPanel.showOnlyCheckedBar</t>
  </si>
  <si>
    <t>検索パネルの『チェックしたものだけ表示』で、チェックしたタスクだけを日程表に表示しているとき</t>
  </si>
  <si>
    <t>チェックしたタスクだけを表示しています（{total} 件中 {shown} 件）</t>
  </si>
  <si>
    <t>Showing only the checked tasks ({shown} of {total})</t>
  </si>
  <si>
    <t>絞り込み中であることを常に見せる帯で、要る</t>
  </si>
  <si>
    <t>状態表示（帯）。showOnlyCheckedCaption と近い文</t>
  </si>
  <si>
    <t>src/adapter/screen-renderer/search-panel.ts:278</t>
  </si>
  <si>
    <t>MG-10</t>
  </si>
  <si>
    <t>仕様に場面はあるが辞書に語も src も無い通知</t>
  </si>
  <si>
    <t>『合流させる』の対応付けの面で「別のものとして取り込む」を選ばせる前</t>
  </si>
  <si>
    <t>（語なし）</t>
  </si>
  <si>
    <t>案「別のものとして取り込むと、このタスクは元の WBS の台帳とつながらなくなり、相手側へ戻せなくなります」を、選ぶ面の中に常に出る注記として置く（OK 不要）</t>
  </si>
  <si>
    <t>spec は MUST（元の外部 WBS マスタへ戻せなくなることを示す）。語も行 ID も無い</t>
  </si>
  <si>
    <t>なし（import-document.ts:71 に注釈があるだけ）</t>
  </si>
  <si>
    <t>EX-3</t>
  </si>
  <si>
    <t>工数を持つ MSPDI XML を開いて進捗を編集し、MSPDI XML へ書き出したとき</t>
  </si>
  <si>
    <t>案「工数は書き換えていません。相手側のアプリで工数を更新してください」を書き出しの後に 1 回、自然に消える表示で出す</t>
  </si>
  <si>
    <t>spec は通知を求める（NT-5）。語なし</t>
  </si>
  <si>
    <t>なし（DEVIATION DFC-557: 書き出しの通知は捨てている document-file-flow.ts:237）</t>
  </si>
  <si>
    <t>DW-1</t>
  </si>
  <si>
    <t>遅延診断レポート</t>
  </si>
  <si>
    <t>ヘッダーの『遅延診断』で開く遅延診断レポートで、矛盾に当たって依存の下流を解析できないタスクの理由欄</t>
  </si>
  <si>
    <t>矛盾があるので、依存の下流を解析できない</t>
  </si>
  <si>
    <t>A contradiction stops the analysis downstream</t>
  </si>
  <si>
    <t>レポートの中身であり、ダイアログではない</t>
  </si>
  <si>
    <t>レポートの欄</t>
  </si>
  <si>
    <t>src/adapter/screen-renderer/delay-diagnostics-report.ts:74, 255</t>
  </si>
  <si>
    <t>DW-2</t>
  </si>
  <si>
    <t>遅延診断レポートで、親が決まらず遅れを祖先へ上げられないタスクの理由欄</t>
  </si>
  <si>
    <t>親が決まらないので、遅れを祖先へ上げられない</t>
  </si>
  <si>
    <t>No single parent, so the delay is not passed up</t>
  </si>
  <si>
    <t>レポートの中身</t>
  </si>
  <si>
    <t>DW-3</t>
  </si>
  <si>
    <t>遅延診断レポートで、先行の無いマイルストーンの理由欄</t>
  </si>
  <si>
    <t>先行の無いマイルストーンは診断できない</t>
  </si>
  <si>
    <t>A milestone with no predecessor cannot be diagnosed</t>
  </si>
  <si>
    <t>delayReportReasons.missingActual</t>
  </si>
  <si>
    <t>遅延診断レポートで、実績が記入されていないタスク（VO-1〜VO-3）の理由欄</t>
  </si>
  <si>
    <t>実績が入力されていない</t>
  </si>
  <si>
    <t>Actual not entered</t>
  </si>
  <si>
    <t>src/adapter/screen-renderer/delay-diagnostics-report.ts:71, 240-242</t>
  </si>
  <si>
    <t>delayReportReasons.milestoneAchieved</t>
  </si>
  <si>
    <t>遅延診断レポートで、先行が全部完了したのに未達成のマイルストーン（VO-5）の理由欄</t>
  </si>
  <si>
    <t>このマイルストーンは達成してるのでは？</t>
  </si>
  <si>
    <t>Isn't this milestone already achieved?</t>
  </si>
  <si>
    <t>案「先行がすべて完了しているので、このマイルストーンは達成済みかもしれない」（他の所見と同じ平叙の文体に揃える）</t>
  </si>
  <si>
    <t>達成日の候補を添える。くだけた疑問形「…してるのでは？」</t>
  </si>
  <si>
    <t>delayReportReasons.parentProgressOutside</t>
  </si>
  <si>
    <t>遅延診断レポートで、親の進み具合が配下から許す日数より外れているタスク（VS-6）の理由欄</t>
  </si>
  <si>
    <t>親の進み具合（{parent}）が、配下の作業の進み具合（{leftmost} - {rightmost}）から {days} 稼働日外れている。進捗の更新漏れ、子タスクに分けきれていない作業、親の期間の空白のどれかかもしれない。許す日数（いまは {tolerance} 稼働日）はプロパティパネルの文書の設定で変えられる</t>
  </si>
  <si>
    <t>This parent's progress ({parent}) lies {days} working days outside its work's progress ({leftmost} - {rightmost}). An update may be missing, work may not be split into child tasks, or the parent's span may have empty gaps. The allowed days (now {tolerance}) can be changed in the document settings of the property panel.</t>
  </si>
  <si>
    <t>レポートの中身で、許す日数の変え方まで書いてある</t>
  </si>
  <si>
    <t>最も長い所見文</t>
  </si>
  <si>
    <t>VC-1</t>
  </si>
  <si>
    <t>遅延診断レポートで、依存が輪になっているタスクの理由欄（矛盾・要修正）</t>
  </si>
  <si>
    <t>依存に輪がある</t>
  </si>
  <si>
    <t>The dependencies form a loop</t>
  </si>
  <si>
    <t>src/adapter/screen-renderer/delay-diagnostics-report.ts:73, 242</t>
  </si>
  <si>
    <t>VC-2</t>
  </si>
  <si>
    <t>遅延診断レポートで、自己依存を持つタスクの理由欄（矛盾）</t>
  </si>
  <si>
    <t>同じタスクを先行と後続にする依存（自己依存）</t>
  </si>
  <si>
    <t>A dependency links a task to itself</t>
  </si>
  <si>
    <t>VC-3</t>
  </si>
  <si>
    <t>遅延診断レポートで、同じ 2 つのタスクの間に依存が 2 本以上あるときの理由欄（矛盾）</t>
  </si>
  <si>
    <t>同じ 2 つのタスクの間に依存が 2 本以上ある</t>
  </si>
  <si>
    <t>Two or more dependencies join the same two tasks</t>
  </si>
  <si>
    <t>VC-4</t>
  </si>
  <si>
    <t>遅延診断レポートで、開始と終了が違うマイルストーンの理由欄（矛盾）</t>
  </si>
  <si>
    <t>マイルストーンなのに開始と終了が違う</t>
  </si>
  <si>
    <t>A milestone whose start and finish differ</t>
  </si>
  <si>
    <t>VC-5</t>
  </si>
  <si>
    <t>O</t>
  </si>
  <si>
    <t>遅延診断レポートで、完了率が 0 より大きいのに実績開始が無いタスクの理由欄（矛盾）</t>
  </si>
  <si>
    <t>完了率が 0 より大きいのに実績開始が無い</t>
  </si>
  <si>
    <t>Progress above 0 but no actual start</t>
  </si>
  <si>
    <t>VC-6 とは原因（完了率か実績終了か）が違い、直す場所が違うので分けたままでよい</t>
  </si>
  <si>
    <t>VC-6 と近い（実績開始が無い）</t>
  </si>
  <si>
    <t>VC-6</t>
  </si>
  <si>
    <t>遅延診断レポートで、実績終了があるのに実績開始が無いタスクの理由欄（矛盾）</t>
  </si>
  <si>
    <t>実績終了があるのに実績開始が無い</t>
  </si>
  <si>
    <t>An actual finish but no actual start</t>
  </si>
  <si>
    <t>VC-5 と近い</t>
  </si>
  <si>
    <t>VC-7</t>
  </si>
  <si>
    <t>遅延診断レポートで、未着手なのに中断または再開の日を持つタスクの理由欄（矛盾）</t>
  </si>
  <si>
    <t>未着手なのに中断または再開の日を持つ</t>
  </si>
  <si>
    <t>Not started but has a stop or resume date</t>
  </si>
  <si>
    <t>VC-8</t>
  </si>
  <si>
    <t>遅延診断レポートで、実績終了があるのに再開の日が有効なタスクの理由欄（矛盾）</t>
  </si>
  <si>
    <t>実績終了があるのに再開の日が有効</t>
  </si>
  <si>
    <t>An actual finish but the resume date is still valid</t>
  </si>
  <si>
    <t>VC-9</t>
  </si>
  <si>
    <t>遅延診断レポートで、親が完了なのに子に未完了があるときの理由欄（矛盾）</t>
  </si>
  <si>
    <t>親が完了なのに、子に未完了がある</t>
  </si>
  <si>
    <t>The parent is finished but a child is not</t>
  </si>
  <si>
    <t>VC-10</t>
  </si>
  <si>
    <t>遅延診断レポートで、子が全部完了なのに親が未完了のときの理由欄（矛盾）</t>
  </si>
  <si>
    <t>子が全部完了なのに、親が未完了</t>
  </si>
  <si>
    <t>Every child is finished but the parent is not</t>
  </si>
  <si>
    <t>VC-11</t>
  </si>
  <si>
    <t>遅延診断レポートで、親の予定の両端が子の両端と違うときの理由欄（矛盾）</t>
  </si>
  <si>
    <t>親の予定の両端が、子の両端と違う</t>
  </si>
  <si>
    <t>The parent's planned ends differ from its children's</t>
  </si>
  <si>
    <t>予定と実績で直す値が違うので分けたままでよい</t>
  </si>
  <si>
    <t>VC-12 と対（予定と実績）</t>
  </si>
  <si>
    <t>VC-12</t>
  </si>
  <si>
    <t>遅延診断レポートで、親の実績の両端が子の両端と違うときの理由欄（矛盾）</t>
  </si>
  <si>
    <t>親の実績の両端が、子の両端と違う</t>
  </si>
  <si>
    <t>The parent's actual ends differ from its children's</t>
  </si>
  <si>
    <t>VC-11 と対</t>
  </si>
  <si>
    <t>VC-13</t>
  </si>
  <si>
    <t>遅延診断レポートで、後続が完了しているのに依存が縛る先行の端がまだ起きていないときの理由欄（矛盾）</t>
  </si>
  <si>
    <t>後続が完了しているのに、依存が縛る先行の端がまだ起きていない</t>
  </si>
  <si>
    <t>The successor is finished but the predecessor end it waits for has not happened</t>
  </si>
  <si>
    <t>VC-14</t>
  </si>
  <si>
    <t>遅延診断レポートで、手で完了にしたマイルストーンの先行に未完了があるときの理由欄（矛盾）</t>
  </si>
  <si>
    <t>手で完了にしたマイルストーンの先行に、未完了がある</t>
  </si>
  <si>
    <t>A milestone finished by hand has an unfinished predecessor</t>
  </si>
  <si>
    <t>VC-15</t>
  </si>
  <si>
    <t>遅延診断レポートで、予定の日付が依存の向きに反するときの理由欄（矛盾）</t>
  </si>
  <si>
    <t>予定の日付が依存の向きに反する</t>
  </si>
  <si>
    <t>The planned dates go against a dependency</t>
  </si>
  <si>
    <t>予定（矛盾）と実績（疑義）で重さが違うので分けたままでよい</t>
  </si>
  <si>
    <t>VS-4 の予定版</t>
  </si>
  <si>
    <t>VS-1</t>
  </si>
  <si>
    <t>遅延診断レポートで、親子の関係にある 2 つのタスクの間に依存があるときの理由欄（疑義）</t>
  </si>
  <si>
    <t>親子の関係にある 2 つのタスクの間に依存がある</t>
  </si>
  <si>
    <t>A dependency joins a parent and its own child</t>
  </si>
  <si>
    <t>VS-2</t>
  </si>
  <si>
    <t>遅延診断レポートで、そのタスクグループ（行）を束ねる上位タスクが無いときの理由欄（疑義）</t>
  </si>
  <si>
    <t>この行を束ねる上位タスクが無い</t>
  </si>
  <si>
    <t>No summary task holds this row</t>
  </si>
  <si>
    <t>文中の「行」は CR-708 で変わる予定</t>
  </si>
  <si>
    <t>VS-3</t>
  </si>
  <si>
    <t>遅延診断レポートで、先行が未着手なのに後続が着手済みのときの理由欄（疑義）</t>
  </si>
  <si>
    <t>先行が未着手なのに、後続が着手済み</t>
  </si>
  <si>
    <t>The predecessor has not started but the successor has</t>
  </si>
  <si>
    <t>VS-4</t>
  </si>
  <si>
    <t>遅延診断レポートで、実績の日付が依存の向きに反するときの理由欄（疑義）</t>
  </si>
  <si>
    <t>実績の日付が依存の向きに反する</t>
  </si>
  <si>
    <t>The actual dates go against a dependency</t>
  </si>
  <si>
    <t>VC-15 の実績版</t>
  </si>
  <si>
    <t>VS-5</t>
  </si>
  <si>
    <t>遅延診断レポートで、実績の日付が基準日より後のときの理由欄（疑義）</t>
  </si>
  <si>
    <t>実績の日付が基準日より後</t>
  </si>
  <si>
    <t>An actual date is after the status date</t>
  </si>
  <si>
    <t>GRS が利用者に出すメッセージの要否（記入用）</t>
  </si>
  <si>
    <t>測った commit: 572da133（2026-10-08）。測り方は docs/review/message-review-2026-10-07.md の『調べ方』と同じ。</t>
  </si>
  <si>
    <t>JDG-1553「エラーメッセージ/ワーニングメッセージが多すぎる。一覧表を出せ」と DFC-2166 / PND-787 に答える表。</t>
  </si>
  <si>
    <t>記入のしかた</t>
  </si>
  <si>
    <t>1. シート『記入』を開く。黄色の 2 列（要否・コメント）だけを書く。ほかの列は変えない。</t>
  </si>
  <si>
    <t>2. 『要否』には推奨を先に入れてある。賛成なら触らない。変えたい行だけ、セルの ▼ から選び直す。</t>
  </si>
  <si>
    <t>3. 『文面を直す』を選んだ行は、コメントに直した文を書く（推奨の理由に案があれば、それでよければ『案のとおり』）。</t>
  </si>
  <si>
    <t>4. 迷う行・問いがある行はコメントに書く。空でよい。</t>
  </si>
  <si>
    <t>5. 見出しの ▼ で、まとまり・深刻度・OK・状況ごとに絞り込める。</t>
  </si>
  <si>
    <t>6. 終わったら上書き保存（Ctrl+S）し、チャットで『埋めた』と伝える。ファイル名・場所・シート名は変えない。</t>
  </si>
  <si>
    <t>要否の 5 つの意味</t>
  </si>
  <si>
    <t>表示する（今のまま）: 今の出し方のまま残す。</t>
  </si>
  <si>
    <t>表示しない: 出すのをやめる（画面の変化だけで分かる、または利用者に打つ手が無い）。</t>
  </si>
  <si>
    <t>OK を押さずに自然に消える表示にする: 数秒で消える知らせにする（OK ボタンを押させない）。</t>
  </si>
  <si>
    <t>1 枚にまとめる（同じまとまりの他の行と）: 1 回の操作で積まれる何枚かを 1 枚にまとめる。どれとまとめるかはコメントへ。</t>
  </si>
  <si>
    <t>文面を直す（コメントに案）: 出すのはよいが文がよくない。直した文をコメントへ。</t>
  </si>
  <si>
    <t>いまの OK の事実（src で確かめた）</t>
  </si>
  <si>
    <t>通知（表 T-233 の理由を運ぶもの。エラー・警告・成功の知らせのすべて）は、時間では一切消えず、利用者が OK を押すか Enter / Esc を押すまで残る。根拠: 通知 1 枚ごとに OK ボタンを描く（src/framework/dom-screen-surface/notices-drawing.ts:80-84）。通知の状態は noticeRaised で積まれ、消えるのは newestNoticeDismissAsked（Enter / Esc でいちばん新しい 1 枚、frame-loop.ts:1298-1301 と 2816-2818）と noticeDismissPressed（OK を押したその 1 枚、frame-loop.ts:2807-2810）だけで、時間で消す道は無い（src/use-case/advance-screen-session/notice-values.ts:100-124、通知に setTimeout は 0 件）。同じ理由が重なると 1 枚にまとめて件数を足す（notice-values.ts:104-107、NT-3）が、別の理由は別の枚として積まれる。起動時の用件（NT-4）だけは 1 枚に集約される（src/adapter/screen-renderer/notices.ts:220 gatheredStartupNotice）。仕様の NT-5 は「NT-2（時間で消える通知）の対象」と書くが、src は時間で消す通知を持たない。取込報告の面 U-62（RS-50・RS-73）も OK で閉じる（open-modals-drawing.ts:751-754）。確認（QN、NT-7）は OK ではなく答えを求める: Yes / No の語のボタン（notices-drawing.ts:90-106、frame-loop.ts:3697）、y / n の打鍵（frame-loop.ts:418-419, 3641）、Esc は No と同じ（frame-loop.ts:3673）。QN-12 だけは 2 択の面で、Esc か面の外を押すと選ばずに閉じる（表 T-234）。OK が要らないのは、表示の倍率の端の知らせ（scaleEcho、S-244 の時間で消える SE-3、frame-loop.ts:2738）と、ヘッダーのファイル状態・検索パネルの状態文・遅延診断レポートの欄だけである。</t>
  </si>
  <si>
    <t>列『OK』: 要 = 押すまで消えない／不要 = ひとりでに消える／— = 窓ではない（レポートの欄・状態表示・AI へ返す理由）。</t>
  </si>
  <si>
    <t>列『状況』: 既存 = 2026-10-07 の一覧にあった／新規 = その後に加わった。退役した行はシート『退役』に参考として置いた。</t>
  </si>
  <si>
    <t>要否の数（記入に合わせて自動で数え直す）</t>
  </si>
  <si>
    <t>要否</t>
  </si>
  <si>
    <t>推奨</t>
  </si>
  <si>
    <t>記入</t>
  </si>
  <si>
    <t>計</t>
  </si>
  <si>
    <t>推奨と違う行の数</t>
  </si>
  <si>
    <t>中身（2026-10-07 の一覧から。新規の行はシート『記入』の列で確かめた）</t>
  </si>
  <si>
    <t>行数</t>
  </si>
  <si>
    <t>「この変更は適用できません」 —— RS-6 / RS-7 / RS-8 / RS-9 / RS-10（次の一手がすべて「…もう一度行ってください」）。RS-15・RS-27 も同じ型</t>
  </si>
  <si>
    <t>「対象が無い・押しても何も起きない」 —— RS-27 / RS-28 / RS-29 / RS-30 / RS-31 / RS-32 / RS-33 / RS-34（次の一手がすべて「…もう一度押してください」）</t>
  </si>
  <si>
    <t>「これ以上動かせません」 —— RS-36 / RS-37 / RS-38 / RS-39 / RS-46（RS-38 と RS-46 は同じ深さの上限）</t>
  </si>
  <si>
    <t>「このファイルは読めません」 —— RS-4 / RS-11 / RS-12 / RS-13 / RS-25 / RS-67（＋RS-26）</t>
  </si>
  <si>
    <t>「新しい形式の文書」 —— RS-48 / RS-63 / RS-64（同じ {downloadUrl} の次の一手）</t>
  </si>
  <si>
    <t>「保存先を選んで書き出してください」 —— RS-2 / RS-5（次の一手が同文）、RS-3 / RS-40（ほぼ同文）</t>
  </si>
  <si>
    <t>「描けない・収まらない」 —— RS-22 / RS-43（次の一手が同文）、RS-24</t>
  </si>
  <si>
    <t>「原因不明の失敗」 —— RS-15 / RS-42</t>
  </si>
  <si>
    <t>「読込時に自動で直した」 —— RS-50 / RS-51 / RS-52 / RS-60（＋RS-14・RS-16。1 回の読込で積み重なる）</t>
  </si>
  <si>
    <t>「クリップボードへコピーしました」 —— RS-65 / RS-68</t>
  </si>
  <si>
    <t>削除の確認 —— QN-1 / QN-2 / QN-10 / QN-3</t>
  </si>
  <si>
    <t>「失われます」の確認 —— QN-4 / QN-5 / QN-11 / QN-8</t>
  </si>
  <si>
    <t>不変条件と拒否理由の二重持ち —— IV-1↔RS-57、IV-10↔RS-58、IV-17↔RS-21、IV-4・IV-18↔RS-55、IV-19・IV-21↔RS-58</t>
  </si>
  <si>
    <t>編集グループ —— RS-61 / RS-62</t>
  </si>
  <si>
    <t>遅延診断の所見 —— VC-15 / VS-4（予定版と実績版）、VC-5 / VC-6（実績開始が無い）、VC-11 / VC-12（親の両端）</t>
  </si>
  <si>
    <t>2026-10-07 の一覧からの変化</t>
  </si>
  <si>
    <t>RS-71 新規（CR-688、表 T-032 の MG-14）: 『合流させる』で取り込んだ値でタスクを上書きしたとき、件数付きの警告（NT-3）。document-file-flow.ts:604</t>
  </si>
  <si>
    <t>RS-72 新規（CR-688、MG-14）: 『合流させる』で取込側に無かったタスクを残したとき、件数付きの警告（NT-5）。旧一覧の MG-7（語なし）を置き換える。document-file-flow.ts:606</t>
  </si>
  <si>
    <t>RS-73 新規（CR-688、MG-14）: 前回は届いて今回届かなかったタスクを名前で並べる（NT-5）。通知の欄ではなく RS-50 と同じ取込報告の面 U-62。旧一覧の MG-11（語なし）を置き換える。open-modals.ts:88</t>
  </si>
  <si>
    <t>RS-74 新規（CR-692）: 確認の問いが立っている間の Agent API の書き込みの拒否理由（NT-1）。画面には出ない（画面からの同じ拒否は RS-27）</t>
  </si>
  <si>
    <t>RS-75 新規（CR-705）: ファイルを開く・開き直す操作が思いがけない理由で途中で失敗したとき（NT-3a）。document-file-flow.ts:491</t>
  </si>
  <si>
    <t>RS-76 新規（CR-705）: 保存・書き出しが思いがけない理由で途中で失敗したとき、ファイルに書けていないかもしれないと告げる（NT-3a）。document-file-flow.ts:507</t>
  </si>
  <si>
    <t>QN-13 退役（CR-701、JDG-1610）: 非稼働日に端を置いたときの問いをやめた。表 T-234 は 11 → 10 行</t>
  </si>
  <si>
    <t>MG-7・MG-11 退役（一覧の行として）: 語が RS-72・RS-73 にできたので「辞書に語も src も無い通知」から外れた。残るのは MG-10・EX-3 と FR-100</t>
  </si>
  <si>
    <t>文面変更: 0 件（既存の RS / QN / IV / 状態文 / 遅延診断の語は a9cdba5b から 1 文字も変わっていない）</t>
  </si>
  <si>
    <t>領域名の変更: 「行の階層・移動」→「タスクグループの階層・移動」（JDG-1570。ただし画面の語の改名 CR-708 は下書きで、メッセージの文はまだ「行」）</t>
  </si>
  <si>
    <t>退役した行（記入は不要。参考）</t>
  </si>
  <si>
    <t>QN-13: {days} は非稼働日です。稼働日にしますか？ —— JDG-1610 の裁定で問いをやめた。端はいつでも非稼働日に置ける</t>
  </si>
  <si>
    <t>MG-7: （語なし → RS-72） —— CR-688 の MG-14 で RS-72 という語ができたので、この行は RS-72 に吸収</t>
  </si>
  <si>
    <t>MG-11: （語なし → RS-73） —— CR-688 の MG-14 で RS-73 という語ができたので、この行は RS-73 に吸収</t>
  </si>
  <si>
    <t>測り方</t>
  </si>
  <si>
    <t>0. 旧一覧 docs/review/message-review-2026-10-07.md（a9cdba5b、135 行）の「調べ方」と同じ手順で測り直した。リポジトリのファイルは変えていない。</t>
  </si>
  <si>
    <t>1. 辞書 docs/spec/_source/display-words.json: reasons 71 項（RS-1〜RS-76、欠番 RS-17/18/35/45/47 の 5 つ）・questions 10 項（QN）・invariants 22 項（IV、ja/en とも全部空文字）・notices 10 項（NT、作法の名前。notices-drawing.ts は mannerText を描かないので一覧から除外）。ほかに scaleEcho 2・fileStatus 1・confirmationMarks 1・searchPanel 11 項のうち状態文 2・delayReportWalls 3・delayReportReasons 10 項のうち所見 3・delayReportAspects 20 を採った。</t>
  </si>
  <si>
    <t>1a. a9cdba5b の辞書と節ごとに突き合わせた（git show a9cdba5b:docs/spec/_source/display-words.json）: reasons 65→71（新規 RS-71〜RS-76）、questions 11→10（QN-13 退役）、ほかの節は項数も語も 0 件の変化。既存の RS/QN/IV の文面の書き換えは 0 件。</t>
  </si>
  <si>
    <t>2. 仕様の表: 表 T-233（docs/spec/01-04-requirements.md の `| RS-` 行）= 71 行 = 辞書 71 項。表 T-234（`| QN-`）= 10 = 10。表 T-220（docs/spec/05-07-design.md の `| IV-`）= 22 = 22。表 T-037（`| NT-`）= 10 = 10。表 T-233 の作法の列と src の作法の表（frame-loop.ts NOTICE_MANNER_OF_REASON、63 項）は食い違い 0 件。</t>
  </si>
  <si>
    <t>3. 仕様にあって語の無い通知: MG-7 は RS-72、MG-11 は RS-73 に語ができた（表 T-032 の MG-14、CR-688）ので退役扱い。MG-10（表 T-032、元の外部 WBS マスタへ戻せなくなる旨）と EX-3（表 T-033、工数の更新が要る旨）は今も語も src の出す箇所も無い（EX-3 は document-file-flow.ts:237 の DEVIATION DFC-557 で捨てている）。FR-100 の宿主の警告は single-html-shell.ts:666 の beforeunload で今も出る（未保存の編集があるときだけ）。</t>
  </si>
  <si>
    <t>4. src で出す箇所: `'RS-NN'` などを src/**/*.ts（テストを除く）で探し、型の和（frame-loop.ts:742-806、63 項）と作法の表（808-872）の 2 か所を除いた。出す箇所が無いもの: RS-19・RS-22・RS-40・RS-49・RS-61・RS-62（旧と同じ）と、新しく RS-74（Agent API の拒否の値として AI に返るだけで、画面からの同じ拒否は RS-27 で告げる frame-loop.ts:892）。RS-50 と RS-73 は通知の欄ではなく取込報告の面 U-62（open-modals.ts:86, 88）。QN は 10 項すべて src に参照あり（QN-8 は落ち先 notices.ts:44）。IV は schedule-invariants.ts が検査するが、取込の拒否は通知を上げずに黙って開かない（document-file-flow.ts:717-718、frame-loop.ts:895 importRefused: null）。RS-25 も『開く』の経路では黙る（document-file-flow.ts:316）。</t>
  </si>
  <si>
    <t>5. 深刻度: src の作法の表から NT-1・NT-3a → エラー、NT-5・NT-3 → 警告、成功の知らせ（RS-65/RS-68）・NT-4（RS-19）・状態表示 → 通知、表 T-234 の問い（と FR-100、確認の付記）→ 確認。遅延診断は壁 DW と所見・疑義 VS を警告、矛盾 VC をエラー（旧と同じ）。</t>
  </si>
  <si>
    <t>6. 結果: 141 行（旧 135 行 ＋ 新規 6 行。退役 3 行（QN-13・MG-7・MG-11）は退役と記して残した）。深刻度: エラー 92 ／ 警告 26 ／ 確認 13 ／ 通知 10（退役を除くと エラー 92 ／ 警告 26 ／ 確認 12 ／ 通知 8）。</t>
  </si>
  <si>
    <t>7. 面の名前は display-words.json と仕様の今の語で書いた。改名「行 → タスクグループ」は CR-708 が下書き（当てていない）なので、利用者に見える文はまだ「行」。場面の欄では「タスクグループ（行）」と併記し、領域名だけ「タスクグループの階層・移動」に改めた。</t>
  </si>
  <si>
    <t>★予定と実績の両方を消してもよい。 タスク・マイルストーン/進捗マーカーだけを見たい場合がある。</t>
    <rPh sb="1" eb="3">
      <t>ヨテイ</t>
    </rPh>
    <rPh sb="4" eb="6">
      <t>ジッセキ</t>
    </rPh>
    <rPh sb="7" eb="9">
      <t>リョウホウ</t>
    </rPh>
    <rPh sb="10" eb="11">
      <t>ケ</t>
    </rPh>
    <rPh sb="30" eb="32">
      <t>シンチョク</t>
    </rPh>
    <rPh sb="39" eb="40">
      <t>ミ</t>
    </rPh>
    <rPh sb="42" eb="44">
      <t>バアイ</t>
    </rPh>
    <phoneticPr fontId="5"/>
  </si>
  <si>
    <t>推奨通り文面を直せ</t>
    <rPh sb="0" eb="3">
      <t>スイショウドオ</t>
    </rPh>
    <rPh sb="4" eb="6">
      <t>ブンメン</t>
    </rPh>
    <rPh sb="7" eb="8">
      <t>ナオ</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</si>
</sst>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ＭＳ Ｐゴシック"/>
      <family val="2"/>
      <scheme val="minor"/>
    </font>
    <font>
      <b/>
      <sz val="14"/>
      <name val="Yu Gothic"/>
      <family val="3"/>
      <charset val="128"/>
    </font>
    <font>
      <sz val="10"/>
      <name val="Yu Gothic"/>
      <family val="3"/>
      <charset val="128"/>
    </font>
    <font>
      <b/>
      <sz val="10"/>
      <name val="Yu Gothic"/>
      <family val="3"/>
      <charset val="128"/>
    </font>
    <font>
      <b/>
      <sz val="10"/>
      <color rgb="FFFFFFFF"/>
      <name val="Yu Gothic"/>
      <family val="3"/>
      <charset val="128"/>
    </font>
    <font>
      <sz val="6"/>
      <name val="ＭＳ Ｐゴシック"/>
      <family val="3"/>
      <charset val="128"/>
      <scheme val="minor"/>
    </font>
  </fonts>
  <fills count="6">
    <fill>
      <patternFill patternType="none"/>
    </fill>
    <fill>
      <patternFill patternType="gray125"/>
    </fill>
    <fill>
      <patternFill patternType="solid">
        <fgColor rgb="FF44546A"/>
      </patternFill>
    </fill>
    <fill>
      <patternFill patternType="solid">
        <fgColor rgb="FFFFF2CC"/>
      </patternFill>
    </fill>
    <fill>
      <patternFill patternType="solid">
        <fgColor rgb="FFEDEDED"/>
      </patternFill>
    </fill>
    <fill>
      <patternFill patternType="solid">
        <fgColor rgb="FFFFFF00"/>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3" fillId="0" borderId="0" xfId="0" applyFont="1"/>
    <xf numFmtId="0" fontId="2" fillId="0" borderId="0" xfId="0" applyFont="1"/>
    <xf numFmtId="0" fontId="4" fillId="2" borderId="1" xfId="0" applyFont="1" applyFill="1" applyBorder="1" applyAlignment="1">
      <alignment vertical="center" wrapText="1"/>
    </xf>
    <xf numFmtId="0" fontId="2" fillId="0" borderId="1" xfId="0" applyFont="1" applyBorder="1" applyAlignment="1">
      <alignment vertical="top" wrapText="1"/>
    </xf>
    <xf numFmtId="0" fontId="2" fillId="3" borderId="1" xfId="0" applyFont="1" applyFill="1" applyBorder="1" applyAlignment="1">
      <alignment vertical="top" wrapText="1"/>
    </xf>
    <xf numFmtId="0" fontId="4" fillId="2" borderId="0" xfId="0" applyFont="1" applyFill="1"/>
    <xf numFmtId="0" fontId="2" fillId="4" borderId="0" xfId="0" applyFont="1" applyFill="1" applyAlignment="1">
      <alignment vertical="top" wrapText="1"/>
    </xf>
    <xf numFmtId="0" fontId="2" fillId="0" borderId="0" xfId="0" applyFont="1" applyAlignment="1">
      <alignment vertical="top" wrapText="1"/>
    </xf>
    <xf numFmtId="0" fontId="0" fillId="0" borderId="0" xfId="0"/>
    <xf numFmtId="0" fontId="4" fillId="5" borderId="1" xfId="0" applyFont="1" applyFill="1" applyBorder="1" applyAlignment="1">
      <alignment vertical="center" wrapText="1"/>
    </xf>
    <xf numFmtId="0" fontId="2" fillId="5" borderId="1" xfId="0" applyFont="1" applyFill="1" applyBorder="1" applyAlignment="1">
      <alignment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4"/>
  <sheetViews>
    <sheetView workbookViewId="0"/>
  </sheetViews>
  <sheetFormatPr defaultRowHeight="13.5"/>
  <cols>
    <col min="1" max="1" width="44" customWidth="1"/>
    <col min="2" max="3" width="14" customWidth="1"/>
    <col min="4" max="6" width="30" customWidth="1"/>
  </cols>
  <sheetData>
    <row r="1" spans="1:6" ht="48">
      <c r="A1" s="1" t="s">
        <v>947</v>
      </c>
    </row>
    <row r="2" spans="1:6">
      <c r="A2" s="11" t="s">
        <v>948</v>
      </c>
      <c r="B2" s="12"/>
      <c r="C2" s="12"/>
      <c r="D2" s="12"/>
      <c r="E2" s="12"/>
      <c r="F2" s="12"/>
    </row>
    <row r="3" spans="1:6">
      <c r="A3" s="11" t="s">
        <v>949</v>
      </c>
      <c r="B3" s="12"/>
      <c r="C3" s="12"/>
      <c r="D3" s="12"/>
      <c r="E3" s="12"/>
      <c r="F3" s="12"/>
    </row>
    <row r="4" spans="1:6" ht="16.5">
      <c r="A4" s="2"/>
    </row>
    <row r="5" spans="1:6" ht="16.5">
      <c r="A5" s="3" t="s">
        <v>950</v>
      </c>
    </row>
    <row r="6" spans="1:6">
      <c r="A6" s="11" t="s">
        <v>951</v>
      </c>
      <c r="B6" s="12"/>
      <c r="C6" s="12"/>
      <c r="D6" s="12"/>
      <c r="E6" s="12"/>
      <c r="F6" s="12"/>
    </row>
    <row r="7" spans="1:6">
      <c r="A7" s="11" t="s">
        <v>952</v>
      </c>
      <c r="B7" s="12"/>
      <c r="C7" s="12"/>
      <c r="D7" s="12"/>
      <c r="E7" s="12"/>
      <c r="F7" s="12"/>
    </row>
    <row r="8" spans="1:6">
      <c r="A8" s="11" t="s">
        <v>953</v>
      </c>
      <c r="B8" s="12"/>
      <c r="C8" s="12"/>
      <c r="D8" s="12"/>
      <c r="E8" s="12"/>
      <c r="F8" s="12"/>
    </row>
    <row r="9" spans="1:6">
      <c r="A9" s="11" t="s">
        <v>954</v>
      </c>
      <c r="B9" s="12"/>
      <c r="C9" s="12"/>
      <c r="D9" s="12"/>
      <c r="E9" s="12"/>
      <c r="F9" s="12"/>
    </row>
    <row r="10" spans="1:6">
      <c r="A10" s="11" t="s">
        <v>955</v>
      </c>
      <c r="B10" s="12"/>
      <c r="C10" s="12"/>
      <c r="D10" s="12"/>
      <c r="E10" s="12"/>
      <c r="F10" s="12"/>
    </row>
    <row r="11" spans="1:6">
      <c r="A11" s="11" t="s">
        <v>956</v>
      </c>
      <c r="B11" s="12"/>
      <c r="C11" s="12"/>
      <c r="D11" s="12"/>
      <c r="E11" s="12"/>
      <c r="F11" s="12"/>
    </row>
    <row r="12" spans="1:6" ht="16.5">
      <c r="A12" s="2"/>
    </row>
    <row r="13" spans="1:6" ht="16.5">
      <c r="A13" s="3" t="s">
        <v>957</v>
      </c>
    </row>
    <row r="14" spans="1:6">
      <c r="A14" s="11" t="s">
        <v>958</v>
      </c>
      <c r="B14" s="12"/>
      <c r="C14" s="12"/>
      <c r="D14" s="12"/>
      <c r="E14" s="12"/>
      <c r="F14" s="12"/>
    </row>
    <row r="15" spans="1:6">
      <c r="A15" s="11" t="s">
        <v>959</v>
      </c>
      <c r="B15" s="12"/>
      <c r="C15" s="12"/>
      <c r="D15" s="12"/>
      <c r="E15" s="12"/>
      <c r="F15" s="12"/>
    </row>
    <row r="16" spans="1:6">
      <c r="A16" s="11" t="s">
        <v>960</v>
      </c>
      <c r="B16" s="12"/>
      <c r="C16" s="12"/>
      <c r="D16" s="12"/>
      <c r="E16" s="12"/>
      <c r="F16" s="12"/>
    </row>
    <row r="17" spans="1:6">
      <c r="A17" s="11" t="s">
        <v>961</v>
      </c>
      <c r="B17" s="12"/>
      <c r="C17" s="12"/>
      <c r="D17" s="12"/>
      <c r="E17" s="12"/>
      <c r="F17" s="12"/>
    </row>
    <row r="18" spans="1:6">
      <c r="A18" s="11" t="s">
        <v>962</v>
      </c>
      <c r="B18" s="12"/>
      <c r="C18" s="12"/>
      <c r="D18" s="12"/>
      <c r="E18" s="12"/>
      <c r="F18" s="12"/>
    </row>
    <row r="19" spans="1:6" ht="16.5">
      <c r="A19" s="2"/>
    </row>
    <row r="20" spans="1:6" ht="16.5">
      <c r="A20" s="3" t="s">
        <v>963</v>
      </c>
    </row>
    <row r="21" spans="1:6" ht="150" customHeight="1">
      <c r="A21" s="11" t="s">
        <v>964</v>
      </c>
      <c r="B21" s="12"/>
      <c r="C21" s="12"/>
      <c r="D21" s="12"/>
      <c r="E21" s="12"/>
      <c r="F21" s="12"/>
    </row>
    <row r="22" spans="1:6" ht="16.5">
      <c r="A22" s="2"/>
    </row>
    <row r="23" spans="1:6">
      <c r="A23" s="11" t="s">
        <v>965</v>
      </c>
      <c r="B23" s="12"/>
      <c r="C23" s="12"/>
      <c r="D23" s="12"/>
      <c r="E23" s="12"/>
      <c r="F23" s="12"/>
    </row>
    <row r="24" spans="1:6">
      <c r="A24" s="11" t="s">
        <v>966</v>
      </c>
      <c r="B24" s="12"/>
      <c r="C24" s="12"/>
      <c r="D24" s="12"/>
      <c r="E24" s="12"/>
      <c r="F24" s="12"/>
    </row>
    <row r="25" spans="1:6" ht="16.5">
      <c r="A25" s="2"/>
    </row>
    <row r="26" spans="1:6" ht="16.5">
      <c r="A26" s="3" t="s">
        <v>967</v>
      </c>
    </row>
    <row r="27" spans="1:6" ht="16.5">
      <c r="A27" s="4" t="s">
        <v>968</v>
      </c>
      <c r="B27" s="4" t="s">
        <v>969</v>
      </c>
      <c r="C27" s="4" t="s">
        <v>970</v>
      </c>
    </row>
    <row r="28" spans="1:6" ht="16.5">
      <c r="A28" s="5" t="s">
        <v>30</v>
      </c>
      <c r="B28" s="5">
        <f>COUNTIF(記入!$P$2:$P$139,A28)</f>
        <v>66</v>
      </c>
      <c r="C28" s="5">
        <f>COUNTIF(記入!$N$2:$N$139,A28)</f>
        <v>63</v>
      </c>
    </row>
    <row r="29" spans="1:6" ht="16.5">
      <c r="A29" s="5" t="s">
        <v>206</v>
      </c>
      <c r="B29" s="5">
        <f>COUNTIF(記入!$P$2:$P$139,A29)</f>
        <v>14</v>
      </c>
      <c r="C29" s="5">
        <f>COUNTIF(記入!$N$2:$N$139,A29)</f>
        <v>22</v>
      </c>
    </row>
    <row r="30" spans="1:6" ht="16.5">
      <c r="A30" s="5" t="s">
        <v>115</v>
      </c>
      <c r="B30" s="5">
        <f>COUNTIF(記入!$P$2:$P$139,A30)</f>
        <v>15</v>
      </c>
      <c r="C30" s="5">
        <f>COUNTIF(記入!$N$2:$N$139,A30)</f>
        <v>12</v>
      </c>
    </row>
    <row r="31" spans="1:6" ht="16.5">
      <c r="A31" s="5" t="s">
        <v>39</v>
      </c>
      <c r="B31" s="5">
        <f>COUNTIF(記入!$P$2:$P$139,A31)</f>
        <v>17</v>
      </c>
      <c r="C31" s="5">
        <f>COUNTIF(記入!$N$2:$N$139,A31)</f>
        <v>15</v>
      </c>
    </row>
    <row r="32" spans="1:6" ht="16.5">
      <c r="A32" s="5" t="s">
        <v>215</v>
      </c>
      <c r="B32" s="5">
        <f>COUNTIF(記入!$P$2:$P$139,A32)</f>
        <v>26</v>
      </c>
      <c r="C32" s="5">
        <f>COUNTIF(記入!$N$2:$N$139,A32)</f>
        <v>26</v>
      </c>
    </row>
    <row r="33" spans="1:3" ht="16.5">
      <c r="A33" s="4" t="s">
        <v>971</v>
      </c>
      <c r="B33" s="4">
        <f>SUM(B28:B32)</f>
        <v>138</v>
      </c>
      <c r="C33" s="4">
        <f>SUM(C28:C32)</f>
        <v>138</v>
      </c>
    </row>
    <row r="34" spans="1:3" ht="16.5">
      <c r="A34" s="4" t="s">
        <v>972</v>
      </c>
      <c r="C34" s="4">
        <f>SUMPRODUCT(--(記入!$N$2:$N$139&lt;&gt;記入!$P$2:$P$139))</f>
        <v>11</v>
      </c>
    </row>
  </sheetData>
  <mergeCells count="16">
    <mergeCell ref="A24:F24"/>
    <mergeCell ref="A2:F2"/>
    <mergeCell ref="A11:F11"/>
    <mergeCell ref="A16:F16"/>
    <mergeCell ref="A10:F10"/>
    <mergeCell ref="A14:F14"/>
    <mergeCell ref="A23:F23"/>
    <mergeCell ref="A9:F9"/>
    <mergeCell ref="A8:F8"/>
    <mergeCell ref="A6:F6"/>
    <mergeCell ref="A17:F17"/>
    <mergeCell ref="A18:F18"/>
    <mergeCell ref="A3:F3"/>
    <mergeCell ref="A21:F21"/>
    <mergeCell ref="A15:F15"/>
    <mergeCell ref="A7:F7"/>
  </mergeCells>
  <phoneticPr fontId="5"/>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39"/>
  <sheetViews>
    <sheetView tabSelected="1" zoomScale="145" zoomScaleNormal="145" workbookViewId="0">
      <pane xSplit="2" ySplit="1" topLeftCell="C97" activePane="bottomRight" state="frozen"/>
      <selection pane="topRight"/>
      <selection pane="bottomLeft"/>
      <selection pane="bottomRight" activeCell="I107" sqref="I107"/>
    </sheetView>
  </sheetViews>
  <sheetFormatPr defaultRowHeight="13.5"/>
  <cols>
    <col min="1" max="1" width="5" customWidth="1"/>
    <col min="2" max="2" width="8" customWidth="1"/>
    <col min="3" max="3" width="16" customWidth="1"/>
    <col min="4" max="7" width="4.375" customWidth="1"/>
    <col min="8" max="8" width="21.375" customWidth="1"/>
    <col min="9" max="9" width="24.5" customWidth="1"/>
    <col min="10" max="10" width="11.125" customWidth="1"/>
    <col min="11" max="11" width="34" hidden="1" customWidth="1"/>
    <col min="12" max="12" width="19" customWidth="1"/>
    <col min="13" max="13" width="7" customWidth="1"/>
    <col min="14" max="14" width="13.125" customWidth="1"/>
    <col min="15" max="15" width="14.875" customWidth="1"/>
    <col min="16" max="16" width="14.625" customWidth="1"/>
    <col min="17" max="17" width="9.5" customWidth="1"/>
    <col min="18" max="18" width="12.5" customWidth="1"/>
  </cols>
  <sheetData>
    <row r="1" spans="1:18" ht="33">
      <c r="A1" s="6" t="s">
        <v>0</v>
      </c>
      <c r="B1" s="6" t="s">
        <v>1</v>
      </c>
      <c r="C1" s="6" t="s">
        <v>2</v>
      </c>
      <c r="D1" s="6" t="s">
        <v>3</v>
      </c>
      <c r="E1" s="6" t="s">
        <v>4</v>
      </c>
      <c r="F1" s="6" t="s">
        <v>5</v>
      </c>
      <c r="G1" s="6" t="s">
        <v>6</v>
      </c>
      <c r="H1" s="6" t="s">
        <v>7</v>
      </c>
      <c r="I1" s="13" t="s">
        <v>8</v>
      </c>
      <c r="J1" s="6" t="s">
        <v>9</v>
      </c>
      <c r="K1" s="6" t="s">
        <v>10</v>
      </c>
      <c r="L1" s="6" t="s">
        <v>11</v>
      </c>
      <c r="M1" s="6" t="s">
        <v>12</v>
      </c>
      <c r="N1" s="6" t="s">
        <v>13</v>
      </c>
      <c r="O1" s="6" t="s">
        <v>14</v>
      </c>
      <c r="P1" s="6" t="s">
        <v>15</v>
      </c>
      <c r="Q1" s="6" t="s">
        <v>16</v>
      </c>
      <c r="R1" s="6" t="s">
        <v>17</v>
      </c>
    </row>
    <row r="2" spans="1:18" ht="66">
      <c r="A2" s="7">
        <v>1</v>
      </c>
      <c r="B2" s="7" t="s">
        <v>18</v>
      </c>
      <c r="C2" s="7" t="s">
        <v>19</v>
      </c>
      <c r="D2" s="7" t="s">
        <v>20</v>
      </c>
      <c r="E2" s="7" t="s">
        <v>21</v>
      </c>
      <c r="F2" s="7" t="s">
        <v>22</v>
      </c>
      <c r="G2" s="7" t="s">
        <v>23</v>
      </c>
      <c r="H2" s="7" t="s">
        <v>24</v>
      </c>
      <c r="I2" s="7" t="s">
        <v>25</v>
      </c>
      <c r="J2" s="7" t="s">
        <v>26</v>
      </c>
      <c r="K2" s="7" t="s">
        <v>27</v>
      </c>
      <c r="L2" s="7" t="s">
        <v>28</v>
      </c>
      <c r="M2" s="7" t="s">
        <v>29</v>
      </c>
      <c r="N2" s="8" t="s">
        <v>30</v>
      </c>
      <c r="O2" s="8"/>
      <c r="P2" s="7" t="s">
        <v>30</v>
      </c>
      <c r="Q2" s="7" t="s">
        <v>31</v>
      </c>
      <c r="R2" s="7" t="s">
        <v>32</v>
      </c>
    </row>
    <row r="3" spans="1:18" ht="99">
      <c r="A3" s="7">
        <v>2</v>
      </c>
      <c r="B3" s="7" t="s">
        <v>33</v>
      </c>
      <c r="C3" s="7" t="s">
        <v>19</v>
      </c>
      <c r="D3" s="7" t="s">
        <v>20</v>
      </c>
      <c r="E3" s="7" t="s">
        <v>21</v>
      </c>
      <c r="F3" s="7" t="s">
        <v>22</v>
      </c>
      <c r="G3" s="7" t="s">
        <v>23</v>
      </c>
      <c r="H3" s="7" t="s">
        <v>34</v>
      </c>
      <c r="I3" s="7" t="s">
        <v>35</v>
      </c>
      <c r="J3" s="7" t="s">
        <v>36</v>
      </c>
      <c r="K3" s="7" t="s">
        <v>37</v>
      </c>
      <c r="L3" s="7" t="s">
        <v>38</v>
      </c>
      <c r="M3" s="7" t="s">
        <v>29</v>
      </c>
      <c r="N3" s="8" t="s">
        <v>39</v>
      </c>
      <c r="O3" s="8"/>
      <c r="P3" s="7" t="s">
        <v>39</v>
      </c>
      <c r="Q3" s="7" t="s">
        <v>40</v>
      </c>
      <c r="R3" s="7" t="s">
        <v>41</v>
      </c>
    </row>
    <row r="4" spans="1:18" ht="49.5">
      <c r="A4" s="7">
        <v>3</v>
      </c>
      <c r="B4" s="7" t="s">
        <v>42</v>
      </c>
      <c r="C4" s="7" t="s">
        <v>19</v>
      </c>
      <c r="D4" s="7" t="s">
        <v>20</v>
      </c>
      <c r="E4" s="7" t="s">
        <v>21</v>
      </c>
      <c r="F4" s="7" t="s">
        <v>22</v>
      </c>
      <c r="G4" s="7" t="s">
        <v>23</v>
      </c>
      <c r="H4" s="7" t="s">
        <v>43</v>
      </c>
      <c r="I4" s="7" t="s">
        <v>44</v>
      </c>
      <c r="J4" s="7" t="s">
        <v>45</v>
      </c>
      <c r="K4" s="7" t="s">
        <v>46</v>
      </c>
      <c r="L4" s="7" t="s">
        <v>47</v>
      </c>
      <c r="M4" s="7" t="s">
        <v>29</v>
      </c>
      <c r="N4" s="8" t="s">
        <v>39</v>
      </c>
      <c r="O4" s="8"/>
      <c r="P4" s="7" t="s">
        <v>39</v>
      </c>
      <c r="Q4" s="7"/>
      <c r="R4" s="7" t="s">
        <v>48</v>
      </c>
    </row>
    <row r="5" spans="1:18" ht="66">
      <c r="A5" s="7">
        <v>4</v>
      </c>
      <c r="B5" s="7" t="s">
        <v>49</v>
      </c>
      <c r="C5" s="7" t="s">
        <v>19</v>
      </c>
      <c r="D5" s="7" t="s">
        <v>20</v>
      </c>
      <c r="E5" s="7" t="s">
        <v>21</v>
      </c>
      <c r="F5" s="7" t="s">
        <v>22</v>
      </c>
      <c r="G5" s="7" t="s">
        <v>23</v>
      </c>
      <c r="H5" s="7" t="s">
        <v>50</v>
      </c>
      <c r="I5" s="7" t="s">
        <v>51</v>
      </c>
      <c r="J5" s="7" t="s">
        <v>52</v>
      </c>
      <c r="K5" s="7" t="s">
        <v>53</v>
      </c>
      <c r="L5" s="7" t="s">
        <v>54</v>
      </c>
      <c r="M5" s="7" t="s">
        <v>29</v>
      </c>
      <c r="N5" s="8" t="s">
        <v>39</v>
      </c>
      <c r="O5" s="8"/>
      <c r="P5" s="7" t="s">
        <v>39</v>
      </c>
      <c r="Q5" s="7"/>
      <c r="R5" s="7" t="s">
        <v>55</v>
      </c>
    </row>
    <row r="6" spans="1:18" ht="66">
      <c r="A6" s="7">
        <v>5</v>
      </c>
      <c r="B6" s="7" t="s">
        <v>56</v>
      </c>
      <c r="C6" s="7" t="s">
        <v>19</v>
      </c>
      <c r="D6" s="7" t="s">
        <v>20</v>
      </c>
      <c r="E6" s="7" t="s">
        <v>21</v>
      </c>
      <c r="F6" s="7" t="s">
        <v>22</v>
      </c>
      <c r="G6" s="7" t="s">
        <v>23</v>
      </c>
      <c r="H6" s="7" t="s">
        <v>57</v>
      </c>
      <c r="I6" s="7" t="s">
        <v>58</v>
      </c>
      <c r="J6" s="7" t="s">
        <v>59</v>
      </c>
      <c r="K6" s="7" t="s">
        <v>60</v>
      </c>
      <c r="L6" s="7" t="s">
        <v>61</v>
      </c>
      <c r="M6" s="7" t="s">
        <v>29</v>
      </c>
      <c r="N6" s="8" t="s">
        <v>30</v>
      </c>
      <c r="O6" s="8"/>
      <c r="P6" s="7" t="s">
        <v>30</v>
      </c>
      <c r="Q6" s="7"/>
      <c r="R6" s="7" t="s">
        <v>62</v>
      </c>
    </row>
    <row r="7" spans="1:18" ht="82.5">
      <c r="A7" s="7">
        <v>6</v>
      </c>
      <c r="B7" s="7" t="s">
        <v>63</v>
      </c>
      <c r="C7" s="7" t="s">
        <v>19</v>
      </c>
      <c r="D7" s="7" t="s">
        <v>20</v>
      </c>
      <c r="E7" s="7" t="s">
        <v>21</v>
      </c>
      <c r="F7" s="7" t="s">
        <v>22</v>
      </c>
      <c r="G7" s="7" t="s">
        <v>23</v>
      </c>
      <c r="H7" s="7" t="s">
        <v>64</v>
      </c>
      <c r="I7" s="7" t="s">
        <v>65</v>
      </c>
      <c r="J7" s="7" t="s">
        <v>66</v>
      </c>
      <c r="K7" s="7" t="s">
        <v>67</v>
      </c>
      <c r="L7" s="7" t="s">
        <v>68</v>
      </c>
      <c r="M7" s="7" t="s">
        <v>29</v>
      </c>
      <c r="N7" s="8" t="s">
        <v>30</v>
      </c>
      <c r="O7" s="8"/>
      <c r="P7" s="7" t="s">
        <v>30</v>
      </c>
      <c r="Q7" s="7" t="s">
        <v>69</v>
      </c>
      <c r="R7" s="7" t="s">
        <v>70</v>
      </c>
    </row>
    <row r="8" spans="1:18" ht="49.5">
      <c r="A8" s="7">
        <v>7</v>
      </c>
      <c r="B8" s="7" t="s">
        <v>71</v>
      </c>
      <c r="C8" s="7" t="s">
        <v>19</v>
      </c>
      <c r="D8" s="7" t="s">
        <v>20</v>
      </c>
      <c r="E8" s="7" t="s">
        <v>21</v>
      </c>
      <c r="F8" s="7" t="s">
        <v>22</v>
      </c>
      <c r="G8" s="7" t="s">
        <v>23</v>
      </c>
      <c r="H8" s="7" t="s">
        <v>72</v>
      </c>
      <c r="I8" s="7" t="s">
        <v>73</v>
      </c>
      <c r="J8" s="7" t="s">
        <v>74</v>
      </c>
      <c r="K8" s="7" t="s">
        <v>75</v>
      </c>
      <c r="L8" s="7" t="s">
        <v>76</v>
      </c>
      <c r="M8" s="7" t="s">
        <v>29</v>
      </c>
      <c r="N8" s="8" t="s">
        <v>30</v>
      </c>
      <c r="O8" s="8"/>
      <c r="P8" s="7" t="s">
        <v>30</v>
      </c>
      <c r="Q8" s="7" t="s">
        <v>77</v>
      </c>
      <c r="R8" s="7" t="s">
        <v>78</v>
      </c>
    </row>
    <row r="9" spans="1:18" ht="66">
      <c r="A9" s="7">
        <v>8</v>
      </c>
      <c r="B9" s="7" t="s">
        <v>79</v>
      </c>
      <c r="C9" s="7" t="s">
        <v>19</v>
      </c>
      <c r="D9" s="7" t="s">
        <v>20</v>
      </c>
      <c r="E9" s="7" t="s">
        <v>21</v>
      </c>
      <c r="F9" s="7" t="s">
        <v>80</v>
      </c>
      <c r="G9" s="7" t="s">
        <v>81</v>
      </c>
      <c r="H9" s="7" t="s">
        <v>82</v>
      </c>
      <c r="I9" s="7" t="s">
        <v>83</v>
      </c>
      <c r="J9" s="7" t="s">
        <v>84</v>
      </c>
      <c r="K9" s="7" t="s">
        <v>85</v>
      </c>
      <c r="L9" s="7" t="s">
        <v>86</v>
      </c>
      <c r="M9" s="7" t="s">
        <v>87</v>
      </c>
      <c r="N9" s="8" t="s">
        <v>30</v>
      </c>
      <c r="O9" s="8"/>
      <c r="P9" s="7" t="s">
        <v>30</v>
      </c>
      <c r="Q9" s="7" t="s">
        <v>88</v>
      </c>
      <c r="R9" s="7" t="s">
        <v>89</v>
      </c>
    </row>
    <row r="10" spans="1:18" ht="82.5">
      <c r="A10" s="7">
        <v>9</v>
      </c>
      <c r="B10" s="7" t="s">
        <v>90</v>
      </c>
      <c r="C10" s="7" t="s">
        <v>19</v>
      </c>
      <c r="D10" s="7" t="s">
        <v>20</v>
      </c>
      <c r="E10" s="7" t="s">
        <v>21</v>
      </c>
      <c r="F10" s="7" t="s">
        <v>91</v>
      </c>
      <c r="G10" s="7" t="s">
        <v>23</v>
      </c>
      <c r="H10" s="7" t="s">
        <v>92</v>
      </c>
      <c r="I10" s="7" t="s">
        <v>93</v>
      </c>
      <c r="J10" s="7" t="s">
        <v>94</v>
      </c>
      <c r="K10" s="7" t="s">
        <v>95</v>
      </c>
      <c r="L10" s="7" t="s">
        <v>96</v>
      </c>
      <c r="M10" s="7" t="s">
        <v>29</v>
      </c>
      <c r="N10" s="8" t="s">
        <v>30</v>
      </c>
      <c r="O10" s="8"/>
      <c r="P10" s="7" t="s">
        <v>30</v>
      </c>
      <c r="Q10" s="7" t="s">
        <v>97</v>
      </c>
      <c r="R10" s="7" t="s">
        <v>98</v>
      </c>
    </row>
    <row r="11" spans="1:18" ht="99">
      <c r="A11" s="7">
        <v>10</v>
      </c>
      <c r="B11" s="7" t="s">
        <v>99</v>
      </c>
      <c r="C11" s="7" t="s">
        <v>19</v>
      </c>
      <c r="D11" s="7" t="s">
        <v>20</v>
      </c>
      <c r="E11" s="7" t="s">
        <v>21</v>
      </c>
      <c r="F11" s="7" t="s">
        <v>91</v>
      </c>
      <c r="G11" s="7" t="s">
        <v>23</v>
      </c>
      <c r="H11" s="7" t="s">
        <v>100</v>
      </c>
      <c r="I11" s="7" t="s">
        <v>101</v>
      </c>
      <c r="J11" s="7" t="s">
        <v>102</v>
      </c>
      <c r="K11" s="7" t="s">
        <v>103</v>
      </c>
      <c r="L11" s="7" t="s">
        <v>104</v>
      </c>
      <c r="M11" s="7" t="s">
        <v>29</v>
      </c>
      <c r="N11" s="8" t="s">
        <v>30</v>
      </c>
      <c r="O11" s="8"/>
      <c r="P11" s="7" t="s">
        <v>30</v>
      </c>
      <c r="Q11" s="7" t="s">
        <v>105</v>
      </c>
      <c r="R11" s="7" t="s">
        <v>106</v>
      </c>
    </row>
    <row r="12" spans="1:18" ht="66">
      <c r="A12" s="7">
        <v>11</v>
      </c>
      <c r="B12" s="7" t="s">
        <v>107</v>
      </c>
      <c r="C12" s="7" t="s">
        <v>19</v>
      </c>
      <c r="D12" s="7" t="s">
        <v>108</v>
      </c>
      <c r="E12" s="7" t="s">
        <v>21</v>
      </c>
      <c r="F12" s="7" t="s">
        <v>91</v>
      </c>
      <c r="G12" s="7" t="s">
        <v>23</v>
      </c>
      <c r="H12" s="7" t="s">
        <v>109</v>
      </c>
      <c r="I12" s="7" t="s">
        <v>110</v>
      </c>
      <c r="J12" s="7" t="s">
        <v>111</v>
      </c>
      <c r="K12" s="7" t="s">
        <v>112</v>
      </c>
      <c r="L12" s="7" t="s">
        <v>113</v>
      </c>
      <c r="M12" s="7" t="s">
        <v>114</v>
      </c>
      <c r="N12" s="8" t="s">
        <v>115</v>
      </c>
      <c r="O12" s="8"/>
      <c r="P12" s="7" t="s">
        <v>115</v>
      </c>
      <c r="Q12" s="7" t="s">
        <v>116</v>
      </c>
      <c r="R12" s="7" t="s">
        <v>117</v>
      </c>
    </row>
    <row r="13" spans="1:18" ht="49.5">
      <c r="A13" s="7">
        <v>12</v>
      </c>
      <c r="B13" s="7" t="s">
        <v>118</v>
      </c>
      <c r="C13" s="7" t="s">
        <v>19</v>
      </c>
      <c r="D13" s="7" t="s">
        <v>108</v>
      </c>
      <c r="E13" s="7" t="s">
        <v>21</v>
      </c>
      <c r="F13" s="7" t="s">
        <v>119</v>
      </c>
      <c r="G13" s="7" t="s">
        <v>23</v>
      </c>
      <c r="H13" s="7" t="s">
        <v>120</v>
      </c>
      <c r="I13" s="7" t="s">
        <v>121</v>
      </c>
      <c r="J13" s="7" t="s">
        <v>122</v>
      </c>
      <c r="K13" s="7" t="s">
        <v>123</v>
      </c>
      <c r="L13" s="7" t="s">
        <v>124</v>
      </c>
      <c r="M13" s="7" t="s">
        <v>114</v>
      </c>
      <c r="N13" s="8" t="s">
        <v>39</v>
      </c>
      <c r="O13" s="8"/>
      <c r="P13" s="7" t="s">
        <v>39</v>
      </c>
      <c r="Q13" s="7" t="s">
        <v>125</v>
      </c>
      <c r="R13" s="7" t="s">
        <v>126</v>
      </c>
    </row>
    <row r="14" spans="1:18" ht="82.5">
      <c r="A14" s="7">
        <v>13</v>
      </c>
      <c r="B14" s="7" t="s">
        <v>127</v>
      </c>
      <c r="C14" s="7" t="s">
        <v>19</v>
      </c>
      <c r="D14" s="7" t="s">
        <v>108</v>
      </c>
      <c r="E14" s="7" t="s">
        <v>21</v>
      </c>
      <c r="F14" s="7" t="s">
        <v>119</v>
      </c>
      <c r="G14" s="7" t="s">
        <v>23</v>
      </c>
      <c r="H14" s="7" t="s">
        <v>128</v>
      </c>
      <c r="I14" s="7" t="s">
        <v>129</v>
      </c>
      <c r="J14" s="7" t="s">
        <v>130</v>
      </c>
      <c r="K14" s="7" t="s">
        <v>131</v>
      </c>
      <c r="L14" s="7" t="s">
        <v>132</v>
      </c>
      <c r="M14" s="7" t="s">
        <v>114</v>
      </c>
      <c r="N14" s="8" t="s">
        <v>30</v>
      </c>
      <c r="O14" s="8"/>
      <c r="P14" s="7" t="s">
        <v>30</v>
      </c>
      <c r="Q14" s="7" t="s">
        <v>133</v>
      </c>
      <c r="R14" s="7" t="s">
        <v>134</v>
      </c>
    </row>
    <row r="15" spans="1:18" ht="66">
      <c r="A15" s="7">
        <v>14</v>
      </c>
      <c r="B15" s="7" t="s">
        <v>135</v>
      </c>
      <c r="C15" s="7" t="s">
        <v>19</v>
      </c>
      <c r="D15" s="7" t="s">
        <v>108</v>
      </c>
      <c r="E15" s="7" t="s">
        <v>21</v>
      </c>
      <c r="F15" s="7" t="s">
        <v>119</v>
      </c>
      <c r="G15" s="7" t="s">
        <v>23</v>
      </c>
      <c r="H15" s="7" t="s">
        <v>136</v>
      </c>
      <c r="I15" s="7" t="s">
        <v>137</v>
      </c>
      <c r="J15" s="7" t="s">
        <v>138</v>
      </c>
      <c r="K15" s="7" t="s">
        <v>139</v>
      </c>
      <c r="L15" s="7" t="s">
        <v>140</v>
      </c>
      <c r="M15" s="7" t="s">
        <v>114</v>
      </c>
      <c r="N15" s="8" t="s">
        <v>39</v>
      </c>
      <c r="O15" s="8"/>
      <c r="P15" s="7" t="s">
        <v>39</v>
      </c>
      <c r="Q15" s="7" t="s">
        <v>141</v>
      </c>
      <c r="R15" s="7" t="s">
        <v>142</v>
      </c>
    </row>
    <row r="16" spans="1:18" ht="82.5">
      <c r="A16" s="7">
        <v>15</v>
      </c>
      <c r="B16" s="7" t="s">
        <v>143</v>
      </c>
      <c r="C16" s="7" t="s">
        <v>19</v>
      </c>
      <c r="D16" s="7" t="s">
        <v>108</v>
      </c>
      <c r="E16" s="7" t="s">
        <v>21</v>
      </c>
      <c r="F16" s="7" t="s">
        <v>119</v>
      </c>
      <c r="G16" s="7" t="s">
        <v>23</v>
      </c>
      <c r="H16" s="7" t="s">
        <v>144</v>
      </c>
      <c r="I16" s="7" t="s">
        <v>145</v>
      </c>
      <c r="J16" s="7" t="s">
        <v>146</v>
      </c>
      <c r="K16" s="7" t="s">
        <v>147</v>
      </c>
      <c r="L16" s="7" t="s">
        <v>148</v>
      </c>
      <c r="M16" s="7" t="s">
        <v>149</v>
      </c>
      <c r="N16" s="8" t="s">
        <v>39</v>
      </c>
      <c r="O16" s="8"/>
      <c r="P16" s="7" t="s">
        <v>39</v>
      </c>
      <c r="Q16" s="7" t="s">
        <v>150</v>
      </c>
      <c r="R16" s="7" t="s">
        <v>151</v>
      </c>
    </row>
    <row r="17" spans="1:18" ht="66">
      <c r="A17" s="7">
        <v>16</v>
      </c>
      <c r="B17" s="7" t="s">
        <v>152</v>
      </c>
      <c r="C17" s="7" t="s">
        <v>19</v>
      </c>
      <c r="D17" s="7" t="s">
        <v>108</v>
      </c>
      <c r="E17" s="7" t="s">
        <v>21</v>
      </c>
      <c r="F17" s="7" t="s">
        <v>119</v>
      </c>
      <c r="G17" s="7" t="s">
        <v>23</v>
      </c>
      <c r="H17" s="7" t="s">
        <v>153</v>
      </c>
      <c r="I17" s="7" t="s">
        <v>154</v>
      </c>
      <c r="J17" s="7" t="s">
        <v>155</v>
      </c>
      <c r="K17" s="7" t="s">
        <v>156</v>
      </c>
      <c r="L17" s="7" t="s">
        <v>157</v>
      </c>
      <c r="M17" s="7" t="s">
        <v>114</v>
      </c>
      <c r="N17" s="8" t="s">
        <v>39</v>
      </c>
      <c r="O17" s="8"/>
      <c r="P17" s="7" t="s">
        <v>39</v>
      </c>
      <c r="Q17" s="7" t="s">
        <v>141</v>
      </c>
      <c r="R17" s="7" t="s">
        <v>158</v>
      </c>
    </row>
    <row r="18" spans="1:18" ht="66">
      <c r="A18" s="7">
        <v>17</v>
      </c>
      <c r="B18" s="7" t="s">
        <v>159</v>
      </c>
      <c r="C18" s="7" t="s">
        <v>19</v>
      </c>
      <c r="D18" s="7" t="s">
        <v>108</v>
      </c>
      <c r="E18" s="7" t="s">
        <v>21</v>
      </c>
      <c r="F18" s="7" t="s">
        <v>119</v>
      </c>
      <c r="G18" s="7" t="s">
        <v>81</v>
      </c>
      <c r="H18" s="7" t="s">
        <v>160</v>
      </c>
      <c r="I18" s="7" t="s">
        <v>161</v>
      </c>
      <c r="J18" s="7" t="s">
        <v>162</v>
      </c>
      <c r="K18" s="7" t="s">
        <v>163</v>
      </c>
      <c r="L18" s="7" t="s">
        <v>164</v>
      </c>
      <c r="M18" s="7" t="s">
        <v>149</v>
      </c>
      <c r="N18" s="8" t="s">
        <v>39</v>
      </c>
      <c r="O18" s="8"/>
      <c r="P18" s="7" t="s">
        <v>39</v>
      </c>
      <c r="Q18" s="7" t="s">
        <v>165</v>
      </c>
      <c r="R18" s="7" t="s">
        <v>166</v>
      </c>
    </row>
    <row r="19" spans="1:18" ht="49.5">
      <c r="A19" s="7">
        <v>18</v>
      </c>
      <c r="B19" s="7" t="s">
        <v>167</v>
      </c>
      <c r="C19" s="7" t="s">
        <v>19</v>
      </c>
      <c r="D19" s="7" t="s">
        <v>108</v>
      </c>
      <c r="E19" s="7" t="s">
        <v>21</v>
      </c>
      <c r="F19" s="7" t="s">
        <v>119</v>
      </c>
      <c r="G19" s="7" t="s">
        <v>81</v>
      </c>
      <c r="H19" s="7" t="s">
        <v>168</v>
      </c>
      <c r="I19" s="7" t="s">
        <v>169</v>
      </c>
      <c r="J19" s="7" t="s">
        <v>170</v>
      </c>
      <c r="K19" s="7" t="s">
        <v>171</v>
      </c>
      <c r="L19" s="7" t="s">
        <v>172</v>
      </c>
      <c r="M19" s="7" t="s">
        <v>114</v>
      </c>
      <c r="N19" s="8" t="s">
        <v>39</v>
      </c>
      <c r="O19" s="8"/>
      <c r="P19" s="7" t="s">
        <v>39</v>
      </c>
      <c r="Q19" s="7" t="s">
        <v>173</v>
      </c>
      <c r="R19" s="7" t="s">
        <v>174</v>
      </c>
    </row>
    <row r="20" spans="1:18" ht="82.5">
      <c r="A20" s="7">
        <v>19</v>
      </c>
      <c r="B20" s="7" t="s">
        <v>175</v>
      </c>
      <c r="C20" s="7" t="s">
        <v>19</v>
      </c>
      <c r="D20" s="7" t="s">
        <v>108</v>
      </c>
      <c r="E20" s="7" t="s">
        <v>21</v>
      </c>
      <c r="F20" s="7" t="s">
        <v>119</v>
      </c>
      <c r="G20" s="7" t="s">
        <v>81</v>
      </c>
      <c r="H20" s="7" t="s">
        <v>176</v>
      </c>
      <c r="I20" s="7" t="s">
        <v>177</v>
      </c>
      <c r="J20" s="7" t="s">
        <v>178</v>
      </c>
      <c r="K20" s="7" t="s">
        <v>179</v>
      </c>
      <c r="L20" s="7" t="s">
        <v>180</v>
      </c>
      <c r="M20" s="7" t="s">
        <v>114</v>
      </c>
      <c r="N20" s="8" t="s">
        <v>30</v>
      </c>
      <c r="O20" s="8"/>
      <c r="P20" s="7" t="s">
        <v>30</v>
      </c>
      <c r="Q20" s="7" t="s">
        <v>181</v>
      </c>
      <c r="R20" s="7" t="s">
        <v>182</v>
      </c>
    </row>
    <row r="21" spans="1:18" ht="82.5">
      <c r="A21" s="7">
        <v>20</v>
      </c>
      <c r="B21" s="7" t="s">
        <v>183</v>
      </c>
      <c r="C21" s="7" t="s">
        <v>19</v>
      </c>
      <c r="D21" s="7" t="s">
        <v>108</v>
      </c>
      <c r="E21" s="7" t="s">
        <v>21</v>
      </c>
      <c r="F21" s="7" t="s">
        <v>119</v>
      </c>
      <c r="G21" s="7" t="s">
        <v>23</v>
      </c>
      <c r="H21" s="7" t="s">
        <v>184</v>
      </c>
      <c r="I21" s="7" t="s">
        <v>185</v>
      </c>
      <c r="J21" s="7" t="s">
        <v>186</v>
      </c>
      <c r="K21" s="7" t="s">
        <v>187</v>
      </c>
      <c r="L21" s="7" t="s">
        <v>188</v>
      </c>
      <c r="M21" s="7" t="s">
        <v>114</v>
      </c>
      <c r="N21" s="8" t="s">
        <v>39</v>
      </c>
      <c r="O21" s="8"/>
      <c r="P21" s="7" t="s">
        <v>39</v>
      </c>
      <c r="Q21" s="7" t="s">
        <v>141</v>
      </c>
      <c r="R21" s="7" t="s">
        <v>189</v>
      </c>
    </row>
    <row r="22" spans="1:18" ht="82.5">
      <c r="A22" s="7">
        <v>21</v>
      </c>
      <c r="B22" s="7" t="s">
        <v>190</v>
      </c>
      <c r="C22" s="7" t="s">
        <v>19</v>
      </c>
      <c r="D22" s="7" t="s">
        <v>20</v>
      </c>
      <c r="E22" s="7" t="s">
        <v>21</v>
      </c>
      <c r="F22" s="7"/>
      <c r="G22" s="7" t="s">
        <v>23</v>
      </c>
      <c r="H22" s="7" t="s">
        <v>191</v>
      </c>
      <c r="I22" s="7" t="s">
        <v>192</v>
      </c>
      <c r="J22" s="7" t="s">
        <v>193</v>
      </c>
      <c r="K22" s="7" t="s">
        <v>194</v>
      </c>
      <c r="L22" s="7" t="s">
        <v>195</v>
      </c>
      <c r="M22" s="7" t="s">
        <v>29</v>
      </c>
      <c r="N22" s="8" t="s">
        <v>30</v>
      </c>
      <c r="O22" s="8"/>
      <c r="P22" s="7" t="s">
        <v>30</v>
      </c>
      <c r="Q22" s="7" t="s">
        <v>196</v>
      </c>
      <c r="R22" s="7" t="s">
        <v>197</v>
      </c>
    </row>
    <row r="23" spans="1:18" ht="66">
      <c r="A23" s="7">
        <v>22</v>
      </c>
      <c r="B23" s="7" t="s">
        <v>198</v>
      </c>
      <c r="C23" s="7" t="s">
        <v>19</v>
      </c>
      <c r="D23" s="7" t="s">
        <v>199</v>
      </c>
      <c r="E23" s="7" t="s">
        <v>21</v>
      </c>
      <c r="F23" s="7" t="s">
        <v>200</v>
      </c>
      <c r="G23" s="7" t="s">
        <v>23</v>
      </c>
      <c r="H23" s="7" t="s">
        <v>201</v>
      </c>
      <c r="I23" s="7" t="s">
        <v>202</v>
      </c>
      <c r="J23" s="7"/>
      <c r="K23" s="7" t="s">
        <v>203</v>
      </c>
      <c r="L23" s="7" t="s">
        <v>204</v>
      </c>
      <c r="M23" s="7" t="s">
        <v>205</v>
      </c>
      <c r="N23" s="8" t="s">
        <v>206</v>
      </c>
      <c r="O23" s="8"/>
      <c r="P23" s="7" t="s">
        <v>206</v>
      </c>
      <c r="Q23" s="7" t="s">
        <v>207</v>
      </c>
      <c r="R23" s="7" t="s">
        <v>208</v>
      </c>
    </row>
    <row r="24" spans="1:18" ht="66">
      <c r="A24" s="7">
        <v>23</v>
      </c>
      <c r="B24" s="7" t="s">
        <v>209</v>
      </c>
      <c r="C24" s="7" t="s">
        <v>210</v>
      </c>
      <c r="D24" s="7" t="s">
        <v>20</v>
      </c>
      <c r="E24" s="7" t="s">
        <v>211</v>
      </c>
      <c r="F24" s="7" t="s">
        <v>212</v>
      </c>
      <c r="G24" s="7" t="s">
        <v>23</v>
      </c>
      <c r="H24" s="7" t="s">
        <v>213</v>
      </c>
      <c r="I24" s="7"/>
      <c r="J24" s="7"/>
      <c r="K24" s="7"/>
      <c r="L24" s="7" t="s">
        <v>214</v>
      </c>
      <c r="M24" s="7"/>
      <c r="N24" s="8" t="s">
        <v>215</v>
      </c>
      <c r="O24" s="8"/>
      <c r="P24" s="7" t="s">
        <v>215</v>
      </c>
      <c r="Q24" s="7" t="s">
        <v>216</v>
      </c>
      <c r="R24" s="7" t="s">
        <v>217</v>
      </c>
    </row>
    <row r="25" spans="1:18" ht="66">
      <c r="A25" s="7">
        <v>24</v>
      </c>
      <c r="B25" s="7" t="s">
        <v>218</v>
      </c>
      <c r="C25" s="7" t="s">
        <v>210</v>
      </c>
      <c r="D25" s="7" t="s">
        <v>20</v>
      </c>
      <c r="E25" s="7" t="s">
        <v>211</v>
      </c>
      <c r="F25" s="7"/>
      <c r="G25" s="7" t="s">
        <v>23</v>
      </c>
      <c r="H25" s="7" t="s">
        <v>219</v>
      </c>
      <c r="I25" s="7"/>
      <c r="J25" s="7"/>
      <c r="K25" s="7"/>
      <c r="L25" s="7" t="s">
        <v>220</v>
      </c>
      <c r="M25" s="7"/>
      <c r="N25" s="8" t="s">
        <v>215</v>
      </c>
      <c r="O25" s="8"/>
      <c r="P25" s="7" t="s">
        <v>215</v>
      </c>
      <c r="Q25" s="7" t="s">
        <v>221</v>
      </c>
      <c r="R25" s="7" t="s">
        <v>222</v>
      </c>
    </row>
    <row r="26" spans="1:18" ht="66">
      <c r="A26" s="7">
        <v>25</v>
      </c>
      <c r="B26" s="7" t="s">
        <v>223</v>
      </c>
      <c r="C26" s="7" t="s">
        <v>210</v>
      </c>
      <c r="D26" s="7" t="s">
        <v>20</v>
      </c>
      <c r="E26" s="7" t="s">
        <v>211</v>
      </c>
      <c r="F26" s="7"/>
      <c r="G26" s="7" t="s">
        <v>23</v>
      </c>
      <c r="H26" s="7" t="s">
        <v>224</v>
      </c>
      <c r="I26" s="7"/>
      <c r="J26" s="7"/>
      <c r="K26" s="7"/>
      <c r="L26" s="7" t="s">
        <v>225</v>
      </c>
      <c r="M26" s="7"/>
      <c r="N26" s="8" t="s">
        <v>215</v>
      </c>
      <c r="O26" s="8"/>
      <c r="P26" s="7" t="s">
        <v>215</v>
      </c>
      <c r="Q26" s="7" t="s">
        <v>226</v>
      </c>
      <c r="R26" s="7" t="s">
        <v>227</v>
      </c>
    </row>
    <row r="27" spans="1:18" ht="49.5">
      <c r="A27" s="7">
        <v>26</v>
      </c>
      <c r="B27" s="7" t="s">
        <v>228</v>
      </c>
      <c r="C27" s="7" t="s">
        <v>210</v>
      </c>
      <c r="D27" s="7" t="s">
        <v>20</v>
      </c>
      <c r="E27" s="7" t="s">
        <v>211</v>
      </c>
      <c r="F27" s="7" t="s">
        <v>212</v>
      </c>
      <c r="G27" s="7" t="s">
        <v>23</v>
      </c>
      <c r="H27" s="7" t="s">
        <v>229</v>
      </c>
      <c r="I27" s="7"/>
      <c r="J27" s="7"/>
      <c r="K27" s="7"/>
      <c r="L27" s="7" t="s">
        <v>230</v>
      </c>
      <c r="M27" s="7"/>
      <c r="N27" s="8" t="s">
        <v>215</v>
      </c>
      <c r="O27" s="8"/>
      <c r="P27" s="7" t="s">
        <v>215</v>
      </c>
      <c r="Q27" s="7" t="s">
        <v>231</v>
      </c>
      <c r="R27" s="7" t="s">
        <v>232</v>
      </c>
    </row>
    <row r="28" spans="1:18" ht="66">
      <c r="A28" s="7">
        <v>27</v>
      </c>
      <c r="B28" s="7" t="s">
        <v>233</v>
      </c>
      <c r="C28" s="7" t="s">
        <v>210</v>
      </c>
      <c r="D28" s="7" t="s">
        <v>20</v>
      </c>
      <c r="E28" s="7" t="s">
        <v>211</v>
      </c>
      <c r="F28" s="7"/>
      <c r="G28" s="7" t="s">
        <v>23</v>
      </c>
      <c r="H28" s="7" t="s">
        <v>234</v>
      </c>
      <c r="I28" s="7"/>
      <c r="J28" s="7"/>
      <c r="K28" s="7"/>
      <c r="L28" s="7" t="s">
        <v>235</v>
      </c>
      <c r="M28" s="7"/>
      <c r="N28" s="8" t="s">
        <v>215</v>
      </c>
      <c r="O28" s="8"/>
      <c r="P28" s="7" t="s">
        <v>215</v>
      </c>
      <c r="Q28" s="7" t="s">
        <v>226</v>
      </c>
      <c r="R28" s="7" t="s">
        <v>236</v>
      </c>
    </row>
    <row r="29" spans="1:18" ht="82.5">
      <c r="A29" s="7">
        <v>28</v>
      </c>
      <c r="B29" s="7" t="s">
        <v>237</v>
      </c>
      <c r="C29" s="7" t="s">
        <v>210</v>
      </c>
      <c r="D29" s="7" t="s">
        <v>20</v>
      </c>
      <c r="E29" s="7" t="s">
        <v>211</v>
      </c>
      <c r="F29" s="7"/>
      <c r="G29" s="7" t="s">
        <v>23</v>
      </c>
      <c r="H29" s="7" t="s">
        <v>238</v>
      </c>
      <c r="I29" s="7"/>
      <c r="J29" s="7"/>
      <c r="K29" s="7"/>
      <c r="L29" s="7" t="s">
        <v>239</v>
      </c>
      <c r="M29" s="7"/>
      <c r="N29" s="8" t="s">
        <v>215</v>
      </c>
      <c r="O29" s="8"/>
      <c r="P29" s="7" t="s">
        <v>215</v>
      </c>
      <c r="Q29" s="7" t="s">
        <v>226</v>
      </c>
      <c r="R29" s="7" t="s">
        <v>240</v>
      </c>
    </row>
    <row r="30" spans="1:18" ht="66">
      <c r="A30" s="7">
        <v>29</v>
      </c>
      <c r="B30" s="7" t="s">
        <v>241</v>
      </c>
      <c r="C30" s="7" t="s">
        <v>210</v>
      </c>
      <c r="D30" s="7" t="s">
        <v>20</v>
      </c>
      <c r="E30" s="7" t="s">
        <v>211</v>
      </c>
      <c r="F30" s="7"/>
      <c r="G30" s="7" t="s">
        <v>23</v>
      </c>
      <c r="H30" s="7" t="s">
        <v>242</v>
      </c>
      <c r="I30" s="7"/>
      <c r="J30" s="7"/>
      <c r="K30" s="7"/>
      <c r="L30" s="7" t="s">
        <v>243</v>
      </c>
      <c r="M30" s="7"/>
      <c r="N30" s="8" t="s">
        <v>215</v>
      </c>
      <c r="O30" s="8"/>
      <c r="P30" s="7" t="s">
        <v>215</v>
      </c>
      <c r="Q30" s="7" t="s">
        <v>226</v>
      </c>
      <c r="R30" s="7" t="s">
        <v>244</v>
      </c>
    </row>
    <row r="31" spans="1:18" ht="49.5">
      <c r="A31" s="7">
        <v>30</v>
      </c>
      <c r="B31" s="7" t="s">
        <v>245</v>
      </c>
      <c r="C31" s="7" t="s">
        <v>210</v>
      </c>
      <c r="D31" s="7" t="s">
        <v>20</v>
      </c>
      <c r="E31" s="7" t="s">
        <v>211</v>
      </c>
      <c r="F31" s="7"/>
      <c r="G31" s="7" t="s">
        <v>23</v>
      </c>
      <c r="H31" s="7" t="s">
        <v>246</v>
      </c>
      <c r="I31" s="7"/>
      <c r="J31" s="7"/>
      <c r="K31" s="7"/>
      <c r="L31" s="7" t="s">
        <v>247</v>
      </c>
      <c r="M31" s="7"/>
      <c r="N31" s="8" t="s">
        <v>215</v>
      </c>
      <c r="O31" s="8"/>
      <c r="P31" s="7" t="s">
        <v>215</v>
      </c>
      <c r="Q31" s="7" t="s">
        <v>226</v>
      </c>
      <c r="R31" s="7" t="s">
        <v>248</v>
      </c>
    </row>
    <row r="32" spans="1:18" ht="49.5">
      <c r="A32" s="7">
        <v>31</v>
      </c>
      <c r="B32" s="7" t="s">
        <v>249</v>
      </c>
      <c r="C32" s="7" t="s">
        <v>210</v>
      </c>
      <c r="D32" s="7" t="s">
        <v>20</v>
      </c>
      <c r="E32" s="7" t="s">
        <v>211</v>
      </c>
      <c r="F32" s="7" t="s">
        <v>212</v>
      </c>
      <c r="G32" s="7" t="s">
        <v>23</v>
      </c>
      <c r="H32" s="7" t="s">
        <v>250</v>
      </c>
      <c r="I32" s="7"/>
      <c r="J32" s="7"/>
      <c r="K32" s="7"/>
      <c r="L32" s="7" t="s">
        <v>251</v>
      </c>
      <c r="M32" s="7"/>
      <c r="N32" s="8" t="s">
        <v>215</v>
      </c>
      <c r="O32" s="8"/>
      <c r="P32" s="7" t="s">
        <v>215</v>
      </c>
      <c r="Q32" s="7" t="s">
        <v>252</v>
      </c>
      <c r="R32" s="7" t="s">
        <v>253</v>
      </c>
    </row>
    <row r="33" spans="1:18" ht="49.5">
      <c r="A33" s="7">
        <v>32</v>
      </c>
      <c r="B33" s="7" t="s">
        <v>254</v>
      </c>
      <c r="C33" s="7" t="s">
        <v>210</v>
      </c>
      <c r="D33" s="7" t="s">
        <v>20</v>
      </c>
      <c r="E33" s="7" t="s">
        <v>211</v>
      </c>
      <c r="F33" s="7"/>
      <c r="G33" s="7" t="s">
        <v>23</v>
      </c>
      <c r="H33" s="7" t="s">
        <v>255</v>
      </c>
      <c r="I33" s="7"/>
      <c r="J33" s="7"/>
      <c r="K33" s="7"/>
      <c r="L33" s="7" t="s">
        <v>256</v>
      </c>
      <c r="M33" s="7"/>
      <c r="N33" s="8" t="s">
        <v>215</v>
      </c>
      <c r="O33" s="8"/>
      <c r="P33" s="7" t="s">
        <v>215</v>
      </c>
      <c r="Q33" s="7" t="s">
        <v>226</v>
      </c>
      <c r="R33" s="7" t="s">
        <v>257</v>
      </c>
    </row>
    <row r="34" spans="1:18" ht="66">
      <c r="A34" s="7">
        <v>33</v>
      </c>
      <c r="B34" s="7" t="s">
        <v>258</v>
      </c>
      <c r="C34" s="7" t="s">
        <v>210</v>
      </c>
      <c r="D34" s="7" t="s">
        <v>20</v>
      </c>
      <c r="E34" s="7" t="s">
        <v>211</v>
      </c>
      <c r="F34" s="7"/>
      <c r="G34" s="7" t="s">
        <v>23</v>
      </c>
      <c r="H34" s="7" t="s">
        <v>259</v>
      </c>
      <c r="I34" s="7"/>
      <c r="J34" s="7"/>
      <c r="K34" s="7"/>
      <c r="L34" s="7" t="s">
        <v>260</v>
      </c>
      <c r="M34" s="7"/>
      <c r="N34" s="8" t="s">
        <v>215</v>
      </c>
      <c r="O34" s="8"/>
      <c r="P34" s="7" t="s">
        <v>215</v>
      </c>
      <c r="Q34" s="7" t="s">
        <v>226</v>
      </c>
      <c r="R34" s="7" t="s">
        <v>261</v>
      </c>
    </row>
    <row r="35" spans="1:18" ht="49.5">
      <c r="A35" s="7">
        <v>34</v>
      </c>
      <c r="B35" s="7" t="s">
        <v>262</v>
      </c>
      <c r="C35" s="7" t="s">
        <v>210</v>
      </c>
      <c r="D35" s="7" t="s">
        <v>20</v>
      </c>
      <c r="E35" s="7" t="s">
        <v>211</v>
      </c>
      <c r="F35" s="7" t="s">
        <v>212</v>
      </c>
      <c r="G35" s="7" t="s">
        <v>23</v>
      </c>
      <c r="H35" s="7" t="s">
        <v>263</v>
      </c>
      <c r="I35" s="7"/>
      <c r="J35" s="7"/>
      <c r="K35" s="7"/>
      <c r="L35" s="7" t="s">
        <v>264</v>
      </c>
      <c r="M35" s="7"/>
      <c r="N35" s="8" t="s">
        <v>215</v>
      </c>
      <c r="O35" s="8"/>
      <c r="P35" s="7" t="s">
        <v>215</v>
      </c>
      <c r="Q35" s="7" t="s">
        <v>265</v>
      </c>
      <c r="R35" s="7" t="s">
        <v>266</v>
      </c>
    </row>
    <row r="36" spans="1:18" ht="49.5">
      <c r="A36" s="7">
        <v>35</v>
      </c>
      <c r="B36" s="7" t="s">
        <v>267</v>
      </c>
      <c r="C36" s="7" t="s">
        <v>210</v>
      </c>
      <c r="D36" s="7" t="s">
        <v>20</v>
      </c>
      <c r="E36" s="7" t="s">
        <v>211</v>
      </c>
      <c r="F36" s="7"/>
      <c r="G36" s="7" t="s">
        <v>23</v>
      </c>
      <c r="H36" s="7" t="s">
        <v>268</v>
      </c>
      <c r="I36" s="7"/>
      <c r="J36" s="7"/>
      <c r="K36" s="7"/>
      <c r="L36" s="7" t="s">
        <v>269</v>
      </c>
      <c r="M36" s="7"/>
      <c r="N36" s="8" t="s">
        <v>215</v>
      </c>
      <c r="O36" s="8"/>
      <c r="P36" s="7" t="s">
        <v>215</v>
      </c>
      <c r="Q36" s="7" t="s">
        <v>226</v>
      </c>
      <c r="R36" s="7" t="s">
        <v>270</v>
      </c>
    </row>
    <row r="37" spans="1:18" ht="49.5">
      <c r="A37" s="7">
        <v>36</v>
      </c>
      <c r="B37" s="7" t="s">
        <v>271</v>
      </c>
      <c r="C37" s="7" t="s">
        <v>210</v>
      </c>
      <c r="D37" s="7" t="s">
        <v>20</v>
      </c>
      <c r="E37" s="7" t="s">
        <v>211</v>
      </c>
      <c r="F37" s="7"/>
      <c r="G37" s="7" t="s">
        <v>23</v>
      </c>
      <c r="H37" s="7" t="s">
        <v>272</v>
      </c>
      <c r="I37" s="7"/>
      <c r="J37" s="7"/>
      <c r="K37" s="7"/>
      <c r="L37" s="7" t="s">
        <v>273</v>
      </c>
      <c r="M37" s="7"/>
      <c r="N37" s="8" t="s">
        <v>215</v>
      </c>
      <c r="O37" s="8"/>
      <c r="P37" s="7" t="s">
        <v>215</v>
      </c>
      <c r="Q37" s="7" t="s">
        <v>226</v>
      </c>
      <c r="R37" s="7" t="s">
        <v>274</v>
      </c>
    </row>
    <row r="38" spans="1:18" ht="66">
      <c r="A38" s="7">
        <v>37</v>
      </c>
      <c r="B38" s="7" t="s">
        <v>275</v>
      </c>
      <c r="C38" s="7" t="s">
        <v>210</v>
      </c>
      <c r="D38" s="7" t="s">
        <v>20</v>
      </c>
      <c r="E38" s="7" t="s">
        <v>211</v>
      </c>
      <c r="F38" s="7"/>
      <c r="G38" s="7" t="s">
        <v>23</v>
      </c>
      <c r="H38" s="7" t="s">
        <v>276</v>
      </c>
      <c r="I38" s="7"/>
      <c r="J38" s="7"/>
      <c r="K38" s="7"/>
      <c r="L38" s="7" t="s">
        <v>277</v>
      </c>
      <c r="M38" s="7"/>
      <c r="N38" s="8" t="s">
        <v>215</v>
      </c>
      <c r="O38" s="8"/>
      <c r="P38" s="7" t="s">
        <v>215</v>
      </c>
      <c r="Q38" s="7" t="s">
        <v>278</v>
      </c>
      <c r="R38" s="7" t="s">
        <v>279</v>
      </c>
    </row>
    <row r="39" spans="1:18" ht="66">
      <c r="A39" s="7">
        <v>38</v>
      </c>
      <c r="B39" s="7" t="s">
        <v>280</v>
      </c>
      <c r="C39" s="7" t="s">
        <v>210</v>
      </c>
      <c r="D39" s="7" t="s">
        <v>20</v>
      </c>
      <c r="E39" s="7" t="s">
        <v>211</v>
      </c>
      <c r="F39" s="7"/>
      <c r="G39" s="7" t="s">
        <v>23</v>
      </c>
      <c r="H39" s="7" t="s">
        <v>281</v>
      </c>
      <c r="I39" s="7"/>
      <c r="J39" s="7"/>
      <c r="K39" s="7"/>
      <c r="L39" s="7" t="s">
        <v>282</v>
      </c>
      <c r="M39" s="7"/>
      <c r="N39" s="8" t="s">
        <v>215</v>
      </c>
      <c r="O39" s="8"/>
      <c r="P39" s="7" t="s">
        <v>215</v>
      </c>
      <c r="Q39" s="7" t="s">
        <v>283</v>
      </c>
      <c r="R39" s="7" t="s">
        <v>284</v>
      </c>
    </row>
    <row r="40" spans="1:18" ht="49.5">
      <c r="A40" s="7">
        <v>39</v>
      </c>
      <c r="B40" s="7" t="s">
        <v>285</v>
      </c>
      <c r="C40" s="7" t="s">
        <v>210</v>
      </c>
      <c r="D40" s="7" t="s">
        <v>20</v>
      </c>
      <c r="E40" s="7" t="s">
        <v>211</v>
      </c>
      <c r="F40" s="7"/>
      <c r="G40" s="7" t="s">
        <v>23</v>
      </c>
      <c r="H40" s="7" t="s">
        <v>286</v>
      </c>
      <c r="I40" s="7"/>
      <c r="J40" s="7"/>
      <c r="K40" s="7"/>
      <c r="L40" s="7" t="s">
        <v>287</v>
      </c>
      <c r="M40" s="7"/>
      <c r="N40" s="8" t="s">
        <v>215</v>
      </c>
      <c r="O40" s="8"/>
      <c r="P40" s="7" t="s">
        <v>215</v>
      </c>
      <c r="Q40" s="7" t="s">
        <v>288</v>
      </c>
      <c r="R40" s="7" t="s">
        <v>289</v>
      </c>
    </row>
    <row r="41" spans="1:18" ht="49.5">
      <c r="A41" s="7">
        <v>40</v>
      </c>
      <c r="B41" s="7" t="s">
        <v>290</v>
      </c>
      <c r="C41" s="7" t="s">
        <v>210</v>
      </c>
      <c r="D41" s="7" t="s">
        <v>20</v>
      </c>
      <c r="E41" s="7" t="s">
        <v>211</v>
      </c>
      <c r="F41" s="7" t="s">
        <v>212</v>
      </c>
      <c r="G41" s="7" t="s">
        <v>23</v>
      </c>
      <c r="H41" s="7" t="s">
        <v>291</v>
      </c>
      <c r="I41" s="7"/>
      <c r="J41" s="7"/>
      <c r="K41" s="7"/>
      <c r="L41" s="7" t="s">
        <v>292</v>
      </c>
      <c r="M41" s="7"/>
      <c r="N41" s="8" t="s">
        <v>215</v>
      </c>
      <c r="O41" s="8"/>
      <c r="P41" s="7" t="s">
        <v>215</v>
      </c>
      <c r="Q41" s="7" t="s">
        <v>293</v>
      </c>
      <c r="R41" s="7" t="s">
        <v>294</v>
      </c>
    </row>
    <row r="42" spans="1:18" ht="66">
      <c r="A42" s="7">
        <v>41</v>
      </c>
      <c r="B42" s="7" t="s">
        <v>295</v>
      </c>
      <c r="C42" s="7" t="s">
        <v>210</v>
      </c>
      <c r="D42" s="7" t="s">
        <v>20</v>
      </c>
      <c r="E42" s="7" t="s">
        <v>211</v>
      </c>
      <c r="F42" s="7" t="s">
        <v>212</v>
      </c>
      <c r="G42" s="7" t="s">
        <v>23</v>
      </c>
      <c r="H42" s="7" t="s">
        <v>296</v>
      </c>
      <c r="I42" s="7"/>
      <c r="J42" s="7"/>
      <c r="K42" s="7"/>
      <c r="L42" s="7" t="s">
        <v>297</v>
      </c>
      <c r="M42" s="7"/>
      <c r="N42" s="8" t="s">
        <v>215</v>
      </c>
      <c r="O42" s="8"/>
      <c r="P42" s="7" t="s">
        <v>215</v>
      </c>
      <c r="Q42" s="7" t="s">
        <v>231</v>
      </c>
      <c r="R42" s="7" t="s">
        <v>298</v>
      </c>
    </row>
    <row r="43" spans="1:18" ht="49.5">
      <c r="A43" s="7">
        <v>42</v>
      </c>
      <c r="B43" s="7" t="s">
        <v>299</v>
      </c>
      <c r="C43" s="7" t="s">
        <v>210</v>
      </c>
      <c r="D43" s="7" t="s">
        <v>20</v>
      </c>
      <c r="E43" s="7" t="s">
        <v>211</v>
      </c>
      <c r="F43" s="7"/>
      <c r="G43" s="7" t="s">
        <v>23</v>
      </c>
      <c r="H43" s="7" t="s">
        <v>300</v>
      </c>
      <c r="I43" s="7"/>
      <c r="J43" s="7"/>
      <c r="K43" s="7"/>
      <c r="L43" s="7" t="s">
        <v>301</v>
      </c>
      <c r="M43" s="7"/>
      <c r="N43" s="8" t="s">
        <v>215</v>
      </c>
      <c r="O43" s="8"/>
      <c r="P43" s="7" t="s">
        <v>215</v>
      </c>
      <c r="Q43" s="7" t="s">
        <v>226</v>
      </c>
      <c r="R43" s="7" t="s">
        <v>302</v>
      </c>
    </row>
    <row r="44" spans="1:18" ht="66">
      <c r="A44" s="7">
        <v>43</v>
      </c>
      <c r="B44" s="7" t="s">
        <v>303</v>
      </c>
      <c r="C44" s="7" t="s">
        <v>210</v>
      </c>
      <c r="D44" s="7" t="s">
        <v>20</v>
      </c>
      <c r="E44" s="7" t="s">
        <v>211</v>
      </c>
      <c r="F44" s="7" t="s">
        <v>212</v>
      </c>
      <c r="G44" s="7" t="s">
        <v>23</v>
      </c>
      <c r="H44" s="7" t="s">
        <v>304</v>
      </c>
      <c r="I44" s="7"/>
      <c r="J44" s="7"/>
      <c r="K44" s="7"/>
      <c r="L44" s="7" t="s">
        <v>305</v>
      </c>
      <c r="M44" s="7"/>
      <c r="N44" s="8" t="s">
        <v>215</v>
      </c>
      <c r="O44" s="8"/>
      <c r="P44" s="7" t="s">
        <v>215</v>
      </c>
      <c r="Q44" s="7" t="s">
        <v>306</v>
      </c>
      <c r="R44" s="7" t="s">
        <v>307</v>
      </c>
    </row>
    <row r="45" spans="1:18" ht="49.5">
      <c r="A45" s="7">
        <v>44</v>
      </c>
      <c r="B45" s="7" t="s">
        <v>308</v>
      </c>
      <c r="C45" s="7" t="s">
        <v>210</v>
      </c>
      <c r="D45" s="7" t="s">
        <v>20</v>
      </c>
      <c r="E45" s="7" t="s">
        <v>211</v>
      </c>
      <c r="F45" s="7"/>
      <c r="G45" s="7" t="s">
        <v>23</v>
      </c>
      <c r="H45" s="7" t="s">
        <v>309</v>
      </c>
      <c r="I45" s="7"/>
      <c r="J45" s="7"/>
      <c r="K45" s="7"/>
      <c r="L45" s="7" t="s">
        <v>310</v>
      </c>
      <c r="M45" s="7"/>
      <c r="N45" s="8" t="s">
        <v>215</v>
      </c>
      <c r="O45" s="8"/>
      <c r="P45" s="7" t="s">
        <v>215</v>
      </c>
      <c r="Q45" s="7" t="s">
        <v>226</v>
      </c>
      <c r="R45" s="7" t="s">
        <v>311</v>
      </c>
    </row>
    <row r="46" spans="1:18" ht="66">
      <c r="A46" s="7">
        <v>45</v>
      </c>
      <c r="B46" s="7" t="s">
        <v>312</v>
      </c>
      <c r="C46" s="7" t="s">
        <v>313</v>
      </c>
      <c r="D46" s="7" t="s">
        <v>20</v>
      </c>
      <c r="E46" s="7" t="s">
        <v>21</v>
      </c>
      <c r="F46" s="7"/>
      <c r="G46" s="7" t="s">
        <v>23</v>
      </c>
      <c r="H46" s="7" t="s">
        <v>314</v>
      </c>
      <c r="I46" s="7" t="s">
        <v>315</v>
      </c>
      <c r="J46" s="7" t="s">
        <v>316</v>
      </c>
      <c r="K46" s="7" t="s">
        <v>317</v>
      </c>
      <c r="L46" s="7" t="s">
        <v>318</v>
      </c>
      <c r="M46" s="7" t="s">
        <v>87</v>
      </c>
      <c r="N46" s="8" t="s">
        <v>30</v>
      </c>
      <c r="O46" s="8"/>
      <c r="P46" s="7" t="s">
        <v>30</v>
      </c>
      <c r="Q46" s="7"/>
      <c r="R46" s="7" t="s">
        <v>319</v>
      </c>
    </row>
    <row r="47" spans="1:18" ht="49.5">
      <c r="A47" s="7">
        <v>46</v>
      </c>
      <c r="B47" s="7" t="s">
        <v>320</v>
      </c>
      <c r="C47" s="7" t="s">
        <v>313</v>
      </c>
      <c r="D47" s="7" t="s">
        <v>20</v>
      </c>
      <c r="E47" s="7" t="s">
        <v>21</v>
      </c>
      <c r="F47" s="7" t="s">
        <v>321</v>
      </c>
      <c r="G47" s="7" t="s">
        <v>23</v>
      </c>
      <c r="H47" s="7" t="s">
        <v>322</v>
      </c>
      <c r="I47" s="7" t="s">
        <v>323</v>
      </c>
      <c r="J47" s="7" t="s">
        <v>324</v>
      </c>
      <c r="K47" s="7" t="s">
        <v>325</v>
      </c>
      <c r="L47" s="7" t="s">
        <v>326</v>
      </c>
      <c r="M47" s="7" t="s">
        <v>87</v>
      </c>
      <c r="N47" s="8" t="s">
        <v>30</v>
      </c>
      <c r="O47" s="8"/>
      <c r="P47" s="7" t="s">
        <v>30</v>
      </c>
      <c r="Q47" s="7" t="s">
        <v>327</v>
      </c>
      <c r="R47" s="7" t="s">
        <v>328</v>
      </c>
    </row>
    <row r="48" spans="1:18" ht="82.5">
      <c r="A48" s="7">
        <v>47</v>
      </c>
      <c r="B48" s="7" t="s">
        <v>329</v>
      </c>
      <c r="C48" s="7" t="s">
        <v>313</v>
      </c>
      <c r="D48" s="7" t="s">
        <v>20</v>
      </c>
      <c r="E48" s="7" t="s">
        <v>21</v>
      </c>
      <c r="F48" s="7" t="s">
        <v>321</v>
      </c>
      <c r="G48" s="7" t="s">
        <v>23</v>
      </c>
      <c r="H48" s="7" t="s">
        <v>330</v>
      </c>
      <c r="I48" s="7" t="s">
        <v>331</v>
      </c>
      <c r="J48" s="7" t="s">
        <v>332</v>
      </c>
      <c r="K48" s="7" t="s">
        <v>333</v>
      </c>
      <c r="L48" s="7" t="s">
        <v>334</v>
      </c>
      <c r="M48" s="7" t="s">
        <v>87</v>
      </c>
      <c r="N48" s="8" t="s">
        <v>30</v>
      </c>
      <c r="O48" s="8"/>
      <c r="P48" s="7" t="s">
        <v>30</v>
      </c>
      <c r="Q48" s="7"/>
      <c r="R48" s="7" t="s">
        <v>335</v>
      </c>
    </row>
    <row r="49" spans="1:18" ht="66">
      <c r="A49" s="7">
        <v>48</v>
      </c>
      <c r="B49" s="7" t="s">
        <v>336</v>
      </c>
      <c r="C49" s="7" t="s">
        <v>313</v>
      </c>
      <c r="D49" s="7" t="s">
        <v>20</v>
      </c>
      <c r="E49" s="7" t="s">
        <v>21</v>
      </c>
      <c r="F49" s="7" t="s">
        <v>80</v>
      </c>
      <c r="G49" s="7" t="s">
        <v>81</v>
      </c>
      <c r="H49" s="7" t="s">
        <v>337</v>
      </c>
      <c r="I49" s="7" t="s">
        <v>338</v>
      </c>
      <c r="J49" s="7" t="s">
        <v>339</v>
      </c>
      <c r="K49" s="7" t="s">
        <v>340</v>
      </c>
      <c r="L49" s="7" t="s">
        <v>341</v>
      </c>
      <c r="M49" s="7" t="s">
        <v>87</v>
      </c>
      <c r="N49" s="8" t="s">
        <v>30</v>
      </c>
      <c r="O49" s="8"/>
      <c r="P49" s="7" t="s">
        <v>30</v>
      </c>
      <c r="Q49" s="7" t="s">
        <v>342</v>
      </c>
      <c r="R49" s="7" t="s">
        <v>343</v>
      </c>
    </row>
    <row r="50" spans="1:18" ht="49.5">
      <c r="A50" s="7">
        <v>49</v>
      </c>
      <c r="B50" s="7" t="s">
        <v>344</v>
      </c>
      <c r="C50" s="7" t="s">
        <v>313</v>
      </c>
      <c r="D50" s="7" t="s">
        <v>20</v>
      </c>
      <c r="E50" s="7" t="s">
        <v>21</v>
      </c>
      <c r="F50" s="7" t="s">
        <v>321</v>
      </c>
      <c r="G50" s="7" t="s">
        <v>23</v>
      </c>
      <c r="H50" s="7" t="s">
        <v>345</v>
      </c>
      <c r="I50" s="7" t="s">
        <v>346</v>
      </c>
      <c r="J50" s="7" t="s">
        <v>324</v>
      </c>
      <c r="K50" s="7" t="s">
        <v>347</v>
      </c>
      <c r="L50" s="7" t="s">
        <v>348</v>
      </c>
      <c r="M50" s="7" t="s">
        <v>29</v>
      </c>
      <c r="N50" s="8" t="s">
        <v>30</v>
      </c>
      <c r="O50" s="8"/>
      <c r="P50" s="7" t="s">
        <v>30</v>
      </c>
      <c r="Q50" s="7" t="s">
        <v>349</v>
      </c>
      <c r="R50" s="7" t="s">
        <v>350</v>
      </c>
    </row>
    <row r="51" spans="1:18" ht="49.5">
      <c r="A51" s="7">
        <v>50</v>
      </c>
      <c r="B51" s="7" t="s">
        <v>351</v>
      </c>
      <c r="C51" s="7" t="s">
        <v>313</v>
      </c>
      <c r="D51" s="7" t="s">
        <v>20</v>
      </c>
      <c r="E51" s="7" t="s">
        <v>21</v>
      </c>
      <c r="F51" s="7" t="s">
        <v>321</v>
      </c>
      <c r="G51" s="7" t="s">
        <v>23</v>
      </c>
      <c r="H51" s="7" t="s">
        <v>352</v>
      </c>
      <c r="I51" s="7" t="s">
        <v>353</v>
      </c>
      <c r="J51" s="7" t="s">
        <v>354</v>
      </c>
      <c r="K51" s="7" t="s">
        <v>355</v>
      </c>
      <c r="L51" s="7" t="s">
        <v>356</v>
      </c>
      <c r="M51" s="7" t="s">
        <v>87</v>
      </c>
      <c r="N51" s="8" t="s">
        <v>206</v>
      </c>
      <c r="O51" s="8"/>
      <c r="P51" s="7" t="s">
        <v>206</v>
      </c>
      <c r="Q51" s="7" t="s">
        <v>357</v>
      </c>
      <c r="R51" s="7" t="s">
        <v>358</v>
      </c>
    </row>
    <row r="52" spans="1:18" ht="49.5">
      <c r="A52" s="7">
        <v>51</v>
      </c>
      <c r="B52" s="7" t="s">
        <v>359</v>
      </c>
      <c r="C52" s="7" t="s">
        <v>313</v>
      </c>
      <c r="D52" s="7" t="s">
        <v>199</v>
      </c>
      <c r="E52" s="7" t="s">
        <v>21</v>
      </c>
      <c r="F52" s="7" t="s">
        <v>200</v>
      </c>
      <c r="G52" s="7" t="s">
        <v>23</v>
      </c>
      <c r="H52" s="7" t="s">
        <v>360</v>
      </c>
      <c r="I52" s="7" t="s">
        <v>361</v>
      </c>
      <c r="J52" s="7"/>
      <c r="K52" s="7" t="s">
        <v>362</v>
      </c>
      <c r="L52" s="7" t="s">
        <v>363</v>
      </c>
      <c r="M52" s="7" t="s">
        <v>205</v>
      </c>
      <c r="N52" s="8" t="s">
        <v>30</v>
      </c>
      <c r="O52" s="8"/>
      <c r="P52" s="7" t="s">
        <v>30</v>
      </c>
      <c r="Q52" s="7" t="s">
        <v>364</v>
      </c>
      <c r="R52" s="7" t="s">
        <v>365</v>
      </c>
    </row>
    <row r="53" spans="1:18" ht="66">
      <c r="A53" s="7">
        <v>52</v>
      </c>
      <c r="B53" s="7" t="s">
        <v>366</v>
      </c>
      <c r="C53" s="7" t="s">
        <v>313</v>
      </c>
      <c r="D53" s="7" t="s">
        <v>20</v>
      </c>
      <c r="E53" s="7" t="s">
        <v>21</v>
      </c>
      <c r="F53" s="7" t="s">
        <v>367</v>
      </c>
      <c r="G53" s="7" t="s">
        <v>23</v>
      </c>
      <c r="H53" s="7" t="s">
        <v>368</v>
      </c>
      <c r="I53" s="7" t="s">
        <v>369</v>
      </c>
      <c r="J53" s="7" t="s">
        <v>370</v>
      </c>
      <c r="K53" s="7" t="s">
        <v>371</v>
      </c>
      <c r="L53" s="7" t="s">
        <v>372</v>
      </c>
      <c r="M53" s="7" t="s">
        <v>87</v>
      </c>
      <c r="N53" s="8" t="s">
        <v>30</v>
      </c>
      <c r="O53" s="8"/>
      <c r="P53" s="7" t="s">
        <v>30</v>
      </c>
      <c r="Q53" s="7" t="s">
        <v>373</v>
      </c>
      <c r="R53" s="7" t="s">
        <v>374</v>
      </c>
    </row>
    <row r="54" spans="1:18" ht="66">
      <c r="A54" s="7">
        <v>53</v>
      </c>
      <c r="B54" s="7" t="s">
        <v>375</v>
      </c>
      <c r="C54" s="7" t="s">
        <v>313</v>
      </c>
      <c r="D54" s="7" t="s">
        <v>108</v>
      </c>
      <c r="E54" s="7" t="s">
        <v>21</v>
      </c>
      <c r="F54" s="7" t="s">
        <v>367</v>
      </c>
      <c r="G54" s="7" t="s">
        <v>23</v>
      </c>
      <c r="H54" s="7" t="s">
        <v>376</v>
      </c>
      <c r="I54" s="7" t="s">
        <v>377</v>
      </c>
      <c r="J54" s="7" t="s">
        <v>370</v>
      </c>
      <c r="K54" s="7" t="s">
        <v>378</v>
      </c>
      <c r="L54" s="7" t="s">
        <v>379</v>
      </c>
      <c r="M54" s="7" t="s">
        <v>114</v>
      </c>
      <c r="N54" s="8" t="s">
        <v>206</v>
      </c>
      <c r="O54" s="8"/>
      <c r="P54" s="7" t="s">
        <v>206</v>
      </c>
      <c r="Q54" s="7" t="s">
        <v>380</v>
      </c>
      <c r="R54" s="7" t="s">
        <v>381</v>
      </c>
    </row>
    <row r="55" spans="1:18" ht="66">
      <c r="A55" s="7">
        <v>54</v>
      </c>
      <c r="B55" s="7" t="s">
        <v>382</v>
      </c>
      <c r="C55" s="7" t="s">
        <v>313</v>
      </c>
      <c r="D55" s="7" t="s">
        <v>20</v>
      </c>
      <c r="E55" s="7" t="s">
        <v>21</v>
      </c>
      <c r="F55" s="7" t="s">
        <v>80</v>
      </c>
      <c r="G55" s="7" t="s">
        <v>23</v>
      </c>
      <c r="H55" s="7" t="s">
        <v>383</v>
      </c>
      <c r="I55" s="7" t="s">
        <v>384</v>
      </c>
      <c r="J55" s="7" t="s">
        <v>385</v>
      </c>
      <c r="K55" s="7" t="s">
        <v>386</v>
      </c>
      <c r="L55" s="7" t="s">
        <v>387</v>
      </c>
      <c r="M55" s="7" t="s">
        <v>87</v>
      </c>
      <c r="N55" s="8" t="s">
        <v>39</v>
      </c>
      <c r="O55" s="8"/>
      <c r="P55" s="7" t="s">
        <v>39</v>
      </c>
      <c r="Q55" s="7" t="s">
        <v>388</v>
      </c>
      <c r="R55" s="7" t="s">
        <v>389</v>
      </c>
    </row>
    <row r="56" spans="1:18" ht="49.5">
      <c r="A56" s="7">
        <v>55</v>
      </c>
      <c r="B56" s="7" t="s">
        <v>390</v>
      </c>
      <c r="C56" s="7" t="s">
        <v>313</v>
      </c>
      <c r="D56" s="7" t="s">
        <v>391</v>
      </c>
      <c r="E56" s="7" t="s">
        <v>21</v>
      </c>
      <c r="F56" s="7" t="s">
        <v>392</v>
      </c>
      <c r="G56" s="7" t="s">
        <v>23</v>
      </c>
      <c r="H56" s="7" t="s">
        <v>393</v>
      </c>
      <c r="I56" s="7" t="s">
        <v>394</v>
      </c>
      <c r="J56" s="7"/>
      <c r="K56" s="7" t="s">
        <v>395</v>
      </c>
      <c r="L56" s="7" t="s">
        <v>396</v>
      </c>
      <c r="M56" s="7" t="s">
        <v>114</v>
      </c>
      <c r="N56" s="8" t="s">
        <v>115</v>
      </c>
      <c r="O56" s="8"/>
      <c r="P56" s="7" t="s">
        <v>115</v>
      </c>
      <c r="Q56" s="7" t="s">
        <v>397</v>
      </c>
      <c r="R56" s="7" t="s">
        <v>398</v>
      </c>
    </row>
    <row r="57" spans="1:18" ht="82.5">
      <c r="A57" s="7">
        <v>56</v>
      </c>
      <c r="B57" s="7" t="s">
        <v>399</v>
      </c>
      <c r="C57" s="7" t="s">
        <v>400</v>
      </c>
      <c r="D57" s="7" t="s">
        <v>20</v>
      </c>
      <c r="E57" s="7" t="s">
        <v>21</v>
      </c>
      <c r="F57" s="7" t="s">
        <v>401</v>
      </c>
      <c r="G57" s="7" t="s">
        <v>23</v>
      </c>
      <c r="H57" s="7" t="s">
        <v>402</v>
      </c>
      <c r="I57" s="7" t="s">
        <v>403</v>
      </c>
      <c r="J57" s="7" t="s">
        <v>404</v>
      </c>
      <c r="K57" s="7" t="s">
        <v>405</v>
      </c>
      <c r="L57" s="7" t="s">
        <v>406</v>
      </c>
      <c r="M57" s="7" t="s">
        <v>29</v>
      </c>
      <c r="N57" s="8" t="s">
        <v>39</v>
      </c>
      <c r="O57" s="8"/>
      <c r="P57" s="7" t="s">
        <v>39</v>
      </c>
      <c r="Q57" s="7"/>
      <c r="R57" s="7" t="s">
        <v>407</v>
      </c>
    </row>
    <row r="58" spans="1:18" ht="49.5">
      <c r="A58" s="7">
        <v>57</v>
      </c>
      <c r="B58" s="7" t="s">
        <v>408</v>
      </c>
      <c r="C58" s="7" t="s">
        <v>400</v>
      </c>
      <c r="D58" s="7" t="s">
        <v>20</v>
      </c>
      <c r="E58" s="7" t="s">
        <v>21</v>
      </c>
      <c r="F58" s="7" t="s">
        <v>401</v>
      </c>
      <c r="G58" s="7" t="s">
        <v>23</v>
      </c>
      <c r="H58" s="7" t="s">
        <v>409</v>
      </c>
      <c r="I58" s="7" t="s">
        <v>410</v>
      </c>
      <c r="J58" s="7" t="s">
        <v>411</v>
      </c>
      <c r="K58" s="7" t="s">
        <v>412</v>
      </c>
      <c r="L58" s="7" t="s">
        <v>413</v>
      </c>
      <c r="M58" s="7" t="s">
        <v>29</v>
      </c>
      <c r="N58" s="8" t="s">
        <v>39</v>
      </c>
      <c r="O58" s="8"/>
      <c r="P58" s="7" t="s">
        <v>39</v>
      </c>
      <c r="Q58" s="7"/>
      <c r="R58" s="7" t="s">
        <v>414</v>
      </c>
    </row>
    <row r="59" spans="1:18" ht="66">
      <c r="A59" s="7">
        <v>58</v>
      </c>
      <c r="B59" s="7" t="s">
        <v>415</v>
      </c>
      <c r="C59" s="7" t="s">
        <v>400</v>
      </c>
      <c r="D59" s="7" t="s">
        <v>20</v>
      </c>
      <c r="E59" s="7" t="s">
        <v>21</v>
      </c>
      <c r="F59" s="7" t="s">
        <v>401</v>
      </c>
      <c r="G59" s="7" t="s">
        <v>23</v>
      </c>
      <c r="H59" s="7" t="s">
        <v>416</v>
      </c>
      <c r="I59" s="7" t="s">
        <v>417</v>
      </c>
      <c r="J59" s="7" t="s">
        <v>418</v>
      </c>
      <c r="K59" s="7" t="s">
        <v>419</v>
      </c>
      <c r="L59" s="7" t="s">
        <v>420</v>
      </c>
      <c r="M59" s="7" t="s">
        <v>29</v>
      </c>
      <c r="N59" s="8" t="s">
        <v>39</v>
      </c>
      <c r="O59" s="8"/>
      <c r="P59" s="7" t="s">
        <v>39</v>
      </c>
      <c r="Q59" s="7"/>
      <c r="R59" s="7" t="s">
        <v>421</v>
      </c>
    </row>
    <row r="60" spans="1:18" ht="49.5">
      <c r="A60" s="7">
        <v>59</v>
      </c>
      <c r="B60" s="7" t="s">
        <v>422</v>
      </c>
      <c r="C60" s="7" t="s">
        <v>400</v>
      </c>
      <c r="D60" s="7" t="s">
        <v>20</v>
      </c>
      <c r="E60" s="7" t="s">
        <v>21</v>
      </c>
      <c r="F60" s="7" t="s">
        <v>401</v>
      </c>
      <c r="G60" s="7" t="s">
        <v>23</v>
      </c>
      <c r="H60" s="7" t="s">
        <v>423</v>
      </c>
      <c r="I60" s="7" t="s">
        <v>424</v>
      </c>
      <c r="J60" s="7" t="s">
        <v>425</v>
      </c>
      <c r="K60" s="7" t="s">
        <v>426</v>
      </c>
      <c r="L60" s="7" t="s">
        <v>413</v>
      </c>
      <c r="M60" s="7" t="s">
        <v>29</v>
      </c>
      <c r="N60" s="8" t="s">
        <v>39</v>
      </c>
      <c r="O60" s="8"/>
      <c r="P60" s="7" t="s">
        <v>39</v>
      </c>
      <c r="Q60" s="7" t="s">
        <v>427</v>
      </c>
      <c r="R60" s="7" t="s">
        <v>428</v>
      </c>
    </row>
    <row r="61" spans="1:18" ht="82.5">
      <c r="A61" s="7">
        <v>60</v>
      </c>
      <c r="B61" s="7" t="s">
        <v>429</v>
      </c>
      <c r="C61" s="7" t="s">
        <v>400</v>
      </c>
      <c r="D61" s="7" t="s">
        <v>20</v>
      </c>
      <c r="E61" s="7" t="s">
        <v>21</v>
      </c>
      <c r="F61" s="7" t="s">
        <v>401</v>
      </c>
      <c r="G61" s="7" t="s">
        <v>23</v>
      </c>
      <c r="H61" s="7" t="s">
        <v>430</v>
      </c>
      <c r="I61" s="7" t="s">
        <v>431</v>
      </c>
      <c r="J61" s="7" t="s">
        <v>432</v>
      </c>
      <c r="K61" s="7" t="s">
        <v>433</v>
      </c>
      <c r="L61" s="7" t="s">
        <v>434</v>
      </c>
      <c r="M61" s="7" t="s">
        <v>29</v>
      </c>
      <c r="N61" s="8" t="s">
        <v>30</v>
      </c>
      <c r="O61" s="8"/>
      <c r="P61" s="7" t="s">
        <v>30</v>
      </c>
      <c r="Q61" s="7" t="s">
        <v>435</v>
      </c>
      <c r="R61" s="7" t="s">
        <v>436</v>
      </c>
    </row>
    <row r="62" spans="1:18" ht="99">
      <c r="A62" s="7">
        <v>61</v>
      </c>
      <c r="B62" s="7" t="s">
        <v>437</v>
      </c>
      <c r="C62" s="7" t="s">
        <v>400</v>
      </c>
      <c r="D62" s="7" t="s">
        <v>20</v>
      </c>
      <c r="E62" s="7" t="s">
        <v>21</v>
      </c>
      <c r="F62" s="7" t="s">
        <v>438</v>
      </c>
      <c r="G62" s="7" t="s">
        <v>23</v>
      </c>
      <c r="H62" s="7" t="s">
        <v>439</v>
      </c>
      <c r="I62" s="7" t="s">
        <v>440</v>
      </c>
      <c r="J62" s="7" t="s">
        <v>441</v>
      </c>
      <c r="K62" s="7" t="s">
        <v>442</v>
      </c>
      <c r="L62" s="7" t="s">
        <v>443</v>
      </c>
      <c r="M62" s="7" t="s">
        <v>29</v>
      </c>
      <c r="N62" s="8" t="s">
        <v>206</v>
      </c>
      <c r="O62" s="8"/>
      <c r="P62" s="7" t="s">
        <v>206</v>
      </c>
      <c r="Q62" s="7" t="s">
        <v>444</v>
      </c>
      <c r="R62" s="7" t="s">
        <v>445</v>
      </c>
    </row>
    <row r="63" spans="1:18" ht="66">
      <c r="A63" s="7">
        <v>62</v>
      </c>
      <c r="B63" s="7" t="s">
        <v>446</v>
      </c>
      <c r="C63" s="7" t="s">
        <v>400</v>
      </c>
      <c r="D63" s="7" t="s">
        <v>20</v>
      </c>
      <c r="E63" s="7" t="s">
        <v>21</v>
      </c>
      <c r="F63" s="7"/>
      <c r="G63" s="7" t="s">
        <v>23</v>
      </c>
      <c r="H63" s="7" t="s">
        <v>447</v>
      </c>
      <c r="I63" s="7" t="s">
        <v>448</v>
      </c>
      <c r="J63" s="7" t="s">
        <v>449</v>
      </c>
      <c r="K63" s="7" t="s">
        <v>450</v>
      </c>
      <c r="L63" s="7" t="s">
        <v>451</v>
      </c>
      <c r="M63" s="7" t="s">
        <v>87</v>
      </c>
      <c r="N63" s="8" t="s">
        <v>30</v>
      </c>
      <c r="O63" s="8"/>
      <c r="P63" s="7" t="s">
        <v>30</v>
      </c>
      <c r="Q63" s="7" t="s">
        <v>452</v>
      </c>
      <c r="R63" s="7" t="s">
        <v>453</v>
      </c>
    </row>
    <row r="64" spans="1:18" ht="132">
      <c r="A64" s="7">
        <v>63</v>
      </c>
      <c r="B64" s="7" t="s">
        <v>454</v>
      </c>
      <c r="C64" s="7" t="s">
        <v>400</v>
      </c>
      <c r="D64" s="7" t="s">
        <v>20</v>
      </c>
      <c r="E64" s="7" t="s">
        <v>21</v>
      </c>
      <c r="F64" s="7"/>
      <c r="G64" s="7" t="s">
        <v>23</v>
      </c>
      <c r="H64" s="7" t="s">
        <v>455</v>
      </c>
      <c r="I64" s="7" t="s">
        <v>456</v>
      </c>
      <c r="J64" s="7" t="s">
        <v>457</v>
      </c>
      <c r="K64" s="7" t="s">
        <v>458</v>
      </c>
      <c r="L64" s="7" t="s">
        <v>459</v>
      </c>
      <c r="M64" s="7" t="s">
        <v>29</v>
      </c>
      <c r="N64" s="14" t="s">
        <v>206</v>
      </c>
      <c r="O64" s="8"/>
      <c r="P64" s="7" t="s">
        <v>115</v>
      </c>
      <c r="Q64" s="7"/>
      <c r="R64" s="7" t="s">
        <v>460</v>
      </c>
    </row>
    <row r="65" spans="1:18" ht="66">
      <c r="A65" s="7">
        <v>64</v>
      </c>
      <c r="B65" s="7" t="s">
        <v>461</v>
      </c>
      <c r="C65" s="7" t="s">
        <v>400</v>
      </c>
      <c r="D65" s="7" t="s">
        <v>20</v>
      </c>
      <c r="E65" s="7" t="s">
        <v>21</v>
      </c>
      <c r="F65" s="7"/>
      <c r="G65" s="7" t="s">
        <v>23</v>
      </c>
      <c r="H65" s="7" t="s">
        <v>462</v>
      </c>
      <c r="I65" s="7" t="s">
        <v>463</v>
      </c>
      <c r="J65" s="7" t="s">
        <v>464</v>
      </c>
      <c r="K65" s="7" t="s">
        <v>465</v>
      </c>
      <c r="L65" s="7" t="s">
        <v>466</v>
      </c>
      <c r="M65" s="7" t="s">
        <v>29</v>
      </c>
      <c r="N65" s="14" t="s">
        <v>115</v>
      </c>
      <c r="O65" s="8"/>
      <c r="P65" s="7" t="s">
        <v>115</v>
      </c>
      <c r="Q65" s="7"/>
      <c r="R65" s="7" t="s">
        <v>467</v>
      </c>
    </row>
    <row r="66" spans="1:18" ht="66">
      <c r="A66" s="7">
        <v>65</v>
      </c>
      <c r="B66" s="7" t="s">
        <v>468</v>
      </c>
      <c r="C66" s="7" t="s">
        <v>400</v>
      </c>
      <c r="D66" s="7" t="s">
        <v>20</v>
      </c>
      <c r="E66" s="7" t="s">
        <v>21</v>
      </c>
      <c r="F66" s="7" t="s">
        <v>212</v>
      </c>
      <c r="G66" s="7" t="s">
        <v>23</v>
      </c>
      <c r="H66" s="7" t="s">
        <v>469</v>
      </c>
      <c r="I66" s="7" t="s">
        <v>470</v>
      </c>
      <c r="J66" s="7" t="s">
        <v>471</v>
      </c>
      <c r="K66" s="7" t="s">
        <v>472</v>
      </c>
      <c r="L66" s="7" t="s">
        <v>473</v>
      </c>
      <c r="M66" s="7" t="s">
        <v>29</v>
      </c>
      <c r="N66" s="8" t="s">
        <v>30</v>
      </c>
      <c r="O66" s="8"/>
      <c r="P66" s="7" t="s">
        <v>30</v>
      </c>
      <c r="Q66" s="7" t="s">
        <v>474</v>
      </c>
      <c r="R66" s="7" t="s">
        <v>475</v>
      </c>
    </row>
    <row r="67" spans="1:18" ht="66">
      <c r="A67" s="7">
        <v>66</v>
      </c>
      <c r="B67" s="7" t="s">
        <v>476</v>
      </c>
      <c r="C67" s="7" t="s">
        <v>400</v>
      </c>
      <c r="D67" s="7" t="s">
        <v>20</v>
      </c>
      <c r="E67" s="7" t="s">
        <v>21</v>
      </c>
      <c r="F67" s="7" t="s">
        <v>212</v>
      </c>
      <c r="G67" s="7" t="s">
        <v>23</v>
      </c>
      <c r="H67" s="7" t="s">
        <v>477</v>
      </c>
      <c r="I67" s="7" t="s">
        <v>478</v>
      </c>
      <c r="J67" s="7" t="s">
        <v>479</v>
      </c>
      <c r="K67" s="7" t="s">
        <v>480</v>
      </c>
      <c r="L67" s="7" t="s">
        <v>481</v>
      </c>
      <c r="M67" s="7" t="s">
        <v>29</v>
      </c>
      <c r="N67" s="8" t="s">
        <v>115</v>
      </c>
      <c r="O67" s="8"/>
      <c r="P67" s="7" t="s">
        <v>115</v>
      </c>
      <c r="Q67" s="7" t="s">
        <v>482</v>
      </c>
      <c r="R67" s="7" t="s">
        <v>483</v>
      </c>
    </row>
    <row r="68" spans="1:18" ht="132">
      <c r="A68" s="7">
        <v>67</v>
      </c>
      <c r="B68" s="7" t="s">
        <v>484</v>
      </c>
      <c r="C68" s="7" t="s">
        <v>400</v>
      </c>
      <c r="D68" s="7" t="s">
        <v>20</v>
      </c>
      <c r="E68" s="7" t="s">
        <v>21</v>
      </c>
      <c r="F68" s="7"/>
      <c r="G68" s="7" t="s">
        <v>23</v>
      </c>
      <c r="H68" s="7" t="s">
        <v>485</v>
      </c>
      <c r="I68" s="7" t="s">
        <v>486</v>
      </c>
      <c r="J68" s="7" t="s">
        <v>487</v>
      </c>
      <c r="K68" s="7" t="s">
        <v>488</v>
      </c>
      <c r="L68" s="7" t="s">
        <v>489</v>
      </c>
      <c r="M68" s="7" t="s">
        <v>29</v>
      </c>
      <c r="N68" s="14" t="s">
        <v>206</v>
      </c>
      <c r="O68" s="8"/>
      <c r="P68" s="7" t="s">
        <v>115</v>
      </c>
      <c r="Q68" s="7"/>
      <c r="R68" s="7" t="s">
        <v>490</v>
      </c>
    </row>
    <row r="69" spans="1:18" ht="115.5">
      <c r="A69" s="7">
        <v>68</v>
      </c>
      <c r="B69" s="7" t="s">
        <v>491</v>
      </c>
      <c r="C69" s="7" t="s">
        <v>400</v>
      </c>
      <c r="D69" s="7" t="s">
        <v>20</v>
      </c>
      <c r="E69" s="7" t="s">
        <v>21</v>
      </c>
      <c r="F69" s="7" t="s">
        <v>438</v>
      </c>
      <c r="G69" s="7" t="s">
        <v>23</v>
      </c>
      <c r="H69" s="7" t="s">
        <v>492</v>
      </c>
      <c r="I69" s="7" t="s">
        <v>493</v>
      </c>
      <c r="J69" s="7" t="s">
        <v>494</v>
      </c>
      <c r="K69" s="7" t="s">
        <v>495</v>
      </c>
      <c r="L69" s="7" t="s">
        <v>496</v>
      </c>
      <c r="M69" s="7" t="s">
        <v>29</v>
      </c>
      <c r="N69" s="14" t="s">
        <v>206</v>
      </c>
      <c r="O69" s="8"/>
      <c r="P69" s="7" t="s">
        <v>115</v>
      </c>
      <c r="Q69" s="7"/>
      <c r="R69" s="7" t="s">
        <v>497</v>
      </c>
    </row>
    <row r="70" spans="1:18" ht="66">
      <c r="A70" s="7">
        <v>69</v>
      </c>
      <c r="B70" s="7" t="s">
        <v>498</v>
      </c>
      <c r="C70" s="7" t="s">
        <v>400</v>
      </c>
      <c r="D70" s="7" t="s">
        <v>108</v>
      </c>
      <c r="E70" s="7" t="s">
        <v>21</v>
      </c>
      <c r="F70" s="7"/>
      <c r="G70" s="7" t="s">
        <v>23</v>
      </c>
      <c r="H70" s="7" t="s">
        <v>499</v>
      </c>
      <c r="I70" s="7" t="s">
        <v>500</v>
      </c>
      <c r="J70" s="7" t="s">
        <v>501</v>
      </c>
      <c r="K70" s="7" t="s">
        <v>502</v>
      </c>
      <c r="L70" s="7" t="s">
        <v>503</v>
      </c>
      <c r="M70" s="7" t="s">
        <v>149</v>
      </c>
      <c r="N70" s="8" t="s">
        <v>206</v>
      </c>
      <c r="O70" s="8"/>
      <c r="P70" s="7" t="s">
        <v>206</v>
      </c>
      <c r="Q70" s="7" t="s">
        <v>504</v>
      </c>
      <c r="R70" s="7" t="s">
        <v>505</v>
      </c>
    </row>
    <row r="71" spans="1:18" ht="82.5">
      <c r="A71" s="7">
        <v>70</v>
      </c>
      <c r="B71" s="7" t="s">
        <v>506</v>
      </c>
      <c r="C71" s="7" t="s">
        <v>400</v>
      </c>
      <c r="D71" s="7" t="s">
        <v>20</v>
      </c>
      <c r="E71" s="7" t="s">
        <v>21</v>
      </c>
      <c r="F71" s="7" t="s">
        <v>507</v>
      </c>
      <c r="G71" s="7" t="s">
        <v>23</v>
      </c>
      <c r="H71" s="7" t="s">
        <v>508</v>
      </c>
      <c r="I71" s="7" t="s">
        <v>509</v>
      </c>
      <c r="J71" s="7" t="s">
        <v>510</v>
      </c>
      <c r="K71" s="7" t="s">
        <v>511</v>
      </c>
      <c r="L71" s="7" t="s">
        <v>512</v>
      </c>
      <c r="M71" s="7" t="s">
        <v>29</v>
      </c>
      <c r="N71" s="14" t="s">
        <v>115</v>
      </c>
      <c r="O71" s="8"/>
      <c r="P71" s="7" t="s">
        <v>30</v>
      </c>
      <c r="Q71" s="7" t="s">
        <v>513</v>
      </c>
      <c r="R71" s="7" t="s">
        <v>514</v>
      </c>
    </row>
    <row r="72" spans="1:18" ht="49.5">
      <c r="A72" s="7">
        <v>71</v>
      </c>
      <c r="B72" s="7" t="s">
        <v>515</v>
      </c>
      <c r="C72" s="7" t="s">
        <v>400</v>
      </c>
      <c r="D72" s="7" t="s">
        <v>199</v>
      </c>
      <c r="E72" s="7" t="s">
        <v>21</v>
      </c>
      <c r="F72" s="7" t="s">
        <v>516</v>
      </c>
      <c r="G72" s="7" t="s">
        <v>23</v>
      </c>
      <c r="H72" s="7" t="s">
        <v>517</v>
      </c>
      <c r="I72" s="7" t="s">
        <v>518</v>
      </c>
      <c r="J72" s="7"/>
      <c r="K72" s="7" t="s">
        <v>519</v>
      </c>
      <c r="L72" s="7" t="s">
        <v>520</v>
      </c>
      <c r="M72" s="7" t="s">
        <v>205</v>
      </c>
      <c r="N72" s="8" t="s">
        <v>30</v>
      </c>
      <c r="O72" s="8"/>
      <c r="P72" s="7" t="s">
        <v>30</v>
      </c>
      <c r="Q72" s="7" t="s">
        <v>521</v>
      </c>
      <c r="R72" s="7" t="s">
        <v>522</v>
      </c>
    </row>
    <row r="73" spans="1:18" ht="49.5">
      <c r="A73" s="7">
        <v>72</v>
      </c>
      <c r="B73" s="7" t="s">
        <v>523</v>
      </c>
      <c r="C73" s="7" t="s">
        <v>400</v>
      </c>
      <c r="D73" s="7" t="s">
        <v>199</v>
      </c>
      <c r="E73" s="7" t="s">
        <v>21</v>
      </c>
      <c r="F73" s="7" t="s">
        <v>516</v>
      </c>
      <c r="G73" s="7" t="s">
        <v>23</v>
      </c>
      <c r="H73" s="7" t="s">
        <v>524</v>
      </c>
      <c r="I73" s="7" t="s">
        <v>525</v>
      </c>
      <c r="J73" s="7"/>
      <c r="K73" s="7" t="s">
        <v>526</v>
      </c>
      <c r="L73" s="7" t="s">
        <v>527</v>
      </c>
      <c r="M73" s="7" t="s">
        <v>205</v>
      </c>
      <c r="N73" s="8" t="s">
        <v>30</v>
      </c>
      <c r="O73" s="8"/>
      <c r="P73" s="7" t="s">
        <v>30</v>
      </c>
      <c r="Q73" s="7"/>
      <c r="R73" s="7" t="s">
        <v>522</v>
      </c>
    </row>
    <row r="74" spans="1:18" ht="49.5">
      <c r="A74" s="7">
        <v>73</v>
      </c>
      <c r="B74" s="7" t="s">
        <v>528</v>
      </c>
      <c r="C74" s="7" t="s">
        <v>400</v>
      </c>
      <c r="D74" s="7" t="s">
        <v>199</v>
      </c>
      <c r="E74" s="7" t="s">
        <v>21</v>
      </c>
      <c r="F74" s="7" t="s">
        <v>516</v>
      </c>
      <c r="G74" s="7" t="s">
        <v>23</v>
      </c>
      <c r="H74" s="7" t="s">
        <v>529</v>
      </c>
      <c r="I74" s="7" t="s">
        <v>530</v>
      </c>
      <c r="J74" s="7"/>
      <c r="K74" s="7" t="s">
        <v>531</v>
      </c>
      <c r="L74" s="7" t="s">
        <v>532</v>
      </c>
      <c r="M74" s="7" t="s">
        <v>205</v>
      </c>
      <c r="N74" s="8" t="s">
        <v>30</v>
      </c>
      <c r="O74" s="8"/>
      <c r="P74" s="7" t="s">
        <v>30</v>
      </c>
      <c r="Q74" s="7" t="s">
        <v>533</v>
      </c>
      <c r="R74" s="7" t="s">
        <v>534</v>
      </c>
    </row>
    <row r="75" spans="1:18" ht="49.5">
      <c r="A75" s="7">
        <v>74</v>
      </c>
      <c r="B75" s="7" t="s">
        <v>535</v>
      </c>
      <c r="C75" s="7" t="s">
        <v>400</v>
      </c>
      <c r="D75" s="7" t="s">
        <v>199</v>
      </c>
      <c r="E75" s="7" t="s">
        <v>21</v>
      </c>
      <c r="F75" s="7" t="s">
        <v>516</v>
      </c>
      <c r="G75" s="7" t="s">
        <v>23</v>
      </c>
      <c r="H75" s="7" t="s">
        <v>536</v>
      </c>
      <c r="I75" s="7" t="s">
        <v>537</v>
      </c>
      <c r="J75" s="7"/>
      <c r="K75" s="7" t="s">
        <v>538</v>
      </c>
      <c r="L75" s="7" t="s">
        <v>539</v>
      </c>
      <c r="M75" s="7" t="s">
        <v>205</v>
      </c>
      <c r="N75" s="8" t="s">
        <v>30</v>
      </c>
      <c r="O75" s="8"/>
      <c r="P75" s="7" t="s">
        <v>30</v>
      </c>
      <c r="Q75" s="7" t="s">
        <v>540</v>
      </c>
      <c r="R75" s="7" t="s">
        <v>541</v>
      </c>
    </row>
    <row r="76" spans="1:18" ht="49.5">
      <c r="A76" s="7">
        <v>75</v>
      </c>
      <c r="B76" s="7" t="s">
        <v>542</v>
      </c>
      <c r="C76" s="7" t="s">
        <v>400</v>
      </c>
      <c r="D76" s="7" t="s">
        <v>199</v>
      </c>
      <c r="E76" s="7" t="s">
        <v>21</v>
      </c>
      <c r="F76" s="7" t="s">
        <v>516</v>
      </c>
      <c r="G76" s="7" t="s">
        <v>23</v>
      </c>
      <c r="H76" s="7" t="s">
        <v>543</v>
      </c>
      <c r="I76" s="7" t="s">
        <v>544</v>
      </c>
      <c r="J76" s="7"/>
      <c r="K76" s="7" t="s">
        <v>545</v>
      </c>
      <c r="L76" s="7" t="s">
        <v>546</v>
      </c>
      <c r="M76" s="7"/>
      <c r="N76" s="8" t="s">
        <v>30</v>
      </c>
      <c r="O76" s="8"/>
      <c r="P76" s="7" t="s">
        <v>30</v>
      </c>
      <c r="Q76" s="7" t="s">
        <v>547</v>
      </c>
      <c r="R76" s="7" t="s">
        <v>548</v>
      </c>
    </row>
    <row r="77" spans="1:18" ht="82.5">
      <c r="A77" s="7">
        <v>76</v>
      </c>
      <c r="B77" s="7" t="s">
        <v>549</v>
      </c>
      <c r="C77" s="7" t="s">
        <v>550</v>
      </c>
      <c r="D77" s="7" t="s">
        <v>20</v>
      </c>
      <c r="E77" s="7" t="s">
        <v>21</v>
      </c>
      <c r="F77" s="7" t="s">
        <v>551</v>
      </c>
      <c r="G77" s="7" t="s">
        <v>23</v>
      </c>
      <c r="H77" s="7" t="s">
        <v>552</v>
      </c>
      <c r="I77" s="7" t="s">
        <v>553</v>
      </c>
      <c r="J77" s="7" t="s">
        <v>554</v>
      </c>
      <c r="K77" s="7" t="s">
        <v>555</v>
      </c>
      <c r="L77" s="7" t="s">
        <v>556</v>
      </c>
      <c r="M77" s="7" t="s">
        <v>29</v>
      </c>
      <c r="N77" s="14" t="s">
        <v>206</v>
      </c>
      <c r="O77" s="8"/>
      <c r="P77" s="7" t="s">
        <v>115</v>
      </c>
      <c r="Q77" s="7"/>
      <c r="R77" s="7" t="s">
        <v>557</v>
      </c>
    </row>
    <row r="78" spans="1:18" ht="82.5">
      <c r="A78" s="7">
        <v>77</v>
      </c>
      <c r="B78" s="7" t="s">
        <v>558</v>
      </c>
      <c r="C78" s="7" t="s">
        <v>550</v>
      </c>
      <c r="D78" s="7" t="s">
        <v>20</v>
      </c>
      <c r="E78" s="7" t="s">
        <v>21</v>
      </c>
      <c r="F78" s="7" t="s">
        <v>551</v>
      </c>
      <c r="G78" s="7" t="s">
        <v>23</v>
      </c>
      <c r="H78" s="7" t="s">
        <v>559</v>
      </c>
      <c r="I78" s="7" t="s">
        <v>560</v>
      </c>
      <c r="J78" s="7" t="s">
        <v>561</v>
      </c>
      <c r="K78" s="7" t="s">
        <v>562</v>
      </c>
      <c r="L78" s="7" t="s">
        <v>563</v>
      </c>
      <c r="M78" s="7" t="s">
        <v>29</v>
      </c>
      <c r="N78" s="14" t="s">
        <v>206</v>
      </c>
      <c r="O78" s="8"/>
      <c r="P78" s="7" t="s">
        <v>115</v>
      </c>
      <c r="Q78" s="7"/>
      <c r="R78" s="7" t="s">
        <v>564</v>
      </c>
    </row>
    <row r="79" spans="1:18" ht="115.5">
      <c r="A79" s="7">
        <v>78</v>
      </c>
      <c r="B79" s="7" t="s">
        <v>565</v>
      </c>
      <c r="C79" s="7" t="s">
        <v>550</v>
      </c>
      <c r="D79" s="7" t="s">
        <v>20</v>
      </c>
      <c r="E79" s="7" t="s">
        <v>21</v>
      </c>
      <c r="F79" s="7" t="s">
        <v>551</v>
      </c>
      <c r="G79" s="7" t="s">
        <v>23</v>
      </c>
      <c r="H79" s="7" t="s">
        <v>566</v>
      </c>
      <c r="I79" s="7" t="s">
        <v>567</v>
      </c>
      <c r="J79" s="7" t="s">
        <v>568</v>
      </c>
      <c r="K79" s="7" t="s">
        <v>569</v>
      </c>
      <c r="L79" s="7" t="s">
        <v>570</v>
      </c>
      <c r="M79" s="7" t="s">
        <v>29</v>
      </c>
      <c r="N79" s="14" t="s">
        <v>206</v>
      </c>
      <c r="O79" s="8"/>
      <c r="P79" s="7" t="s">
        <v>39</v>
      </c>
      <c r="Q79" s="7" t="s">
        <v>571</v>
      </c>
      <c r="R79" s="7" t="s">
        <v>572</v>
      </c>
    </row>
    <row r="80" spans="1:18" ht="82.5">
      <c r="A80" s="7">
        <v>79</v>
      </c>
      <c r="B80" s="7" t="s">
        <v>573</v>
      </c>
      <c r="C80" s="7" t="s">
        <v>550</v>
      </c>
      <c r="D80" s="7" t="s">
        <v>20</v>
      </c>
      <c r="E80" s="7" t="s">
        <v>21</v>
      </c>
      <c r="F80" s="7" t="s">
        <v>551</v>
      </c>
      <c r="G80" s="7" t="s">
        <v>23</v>
      </c>
      <c r="H80" s="7" t="s">
        <v>574</v>
      </c>
      <c r="I80" s="7" t="s">
        <v>575</v>
      </c>
      <c r="J80" s="7" t="s">
        <v>576</v>
      </c>
      <c r="K80" s="7" t="s">
        <v>577</v>
      </c>
      <c r="L80" s="7" t="s">
        <v>578</v>
      </c>
      <c r="M80" s="7" t="s">
        <v>87</v>
      </c>
      <c r="N80" s="14" t="s">
        <v>206</v>
      </c>
      <c r="O80" s="8"/>
      <c r="P80" s="7" t="s">
        <v>39</v>
      </c>
      <c r="Q80" s="7" t="s">
        <v>579</v>
      </c>
      <c r="R80" s="7" t="s">
        <v>580</v>
      </c>
    </row>
    <row r="81" spans="1:18" ht="82.5">
      <c r="A81" s="7">
        <v>80</v>
      </c>
      <c r="B81" s="7" t="s">
        <v>581</v>
      </c>
      <c r="C81" s="7" t="s">
        <v>550</v>
      </c>
      <c r="D81" s="7" t="s">
        <v>20</v>
      </c>
      <c r="E81" s="7" t="s">
        <v>21</v>
      </c>
      <c r="F81" s="7" t="s">
        <v>551</v>
      </c>
      <c r="G81" s="7" t="s">
        <v>23</v>
      </c>
      <c r="H81" s="7" t="s">
        <v>582</v>
      </c>
      <c r="I81" s="7" t="s">
        <v>583</v>
      </c>
      <c r="J81" s="7" t="s">
        <v>584</v>
      </c>
      <c r="K81" s="7" t="s">
        <v>585</v>
      </c>
      <c r="L81" s="7" t="s">
        <v>586</v>
      </c>
      <c r="M81" s="7" t="s">
        <v>29</v>
      </c>
      <c r="N81" s="14" t="s">
        <v>206</v>
      </c>
      <c r="O81" s="8"/>
      <c r="P81" s="7" t="s">
        <v>206</v>
      </c>
      <c r="Q81" s="7"/>
      <c r="R81" s="7" t="s">
        <v>587</v>
      </c>
    </row>
    <row r="82" spans="1:18" ht="115.5">
      <c r="A82" s="7">
        <v>81</v>
      </c>
      <c r="B82" s="7" t="s">
        <v>588</v>
      </c>
      <c r="C82" s="7" t="s">
        <v>550</v>
      </c>
      <c r="D82" s="7" t="s">
        <v>20</v>
      </c>
      <c r="E82" s="7" t="s">
        <v>21</v>
      </c>
      <c r="F82" s="7" t="s">
        <v>212</v>
      </c>
      <c r="G82" s="7" t="s">
        <v>23</v>
      </c>
      <c r="H82" s="7" t="s">
        <v>589</v>
      </c>
      <c r="I82" s="7" t="s">
        <v>590</v>
      </c>
      <c r="J82" s="7" t="s">
        <v>591</v>
      </c>
      <c r="K82" s="7" t="s">
        <v>592</v>
      </c>
      <c r="L82" s="7" t="s">
        <v>556</v>
      </c>
      <c r="M82" s="7" t="s">
        <v>29</v>
      </c>
      <c r="N82" s="14" t="s">
        <v>206</v>
      </c>
      <c r="O82" s="8"/>
      <c r="P82" s="7" t="s">
        <v>115</v>
      </c>
      <c r="Q82" s="7" t="s">
        <v>593</v>
      </c>
      <c r="R82" s="7" t="s">
        <v>594</v>
      </c>
    </row>
    <row r="83" spans="1:18" ht="82.5">
      <c r="A83" s="7">
        <v>82</v>
      </c>
      <c r="B83" s="7" t="s">
        <v>595</v>
      </c>
      <c r="C83" s="7" t="s">
        <v>596</v>
      </c>
      <c r="D83" s="7" t="s">
        <v>20</v>
      </c>
      <c r="E83" s="7" t="s">
        <v>21</v>
      </c>
      <c r="F83" s="7" t="s">
        <v>438</v>
      </c>
      <c r="G83" s="7" t="s">
        <v>23</v>
      </c>
      <c r="H83" s="7" t="s">
        <v>597</v>
      </c>
      <c r="I83" s="7" t="s">
        <v>598</v>
      </c>
      <c r="J83" s="7" t="s">
        <v>599</v>
      </c>
      <c r="K83" s="7" t="s">
        <v>600</v>
      </c>
      <c r="L83" s="7" t="s">
        <v>601</v>
      </c>
      <c r="M83" s="7" t="s">
        <v>29</v>
      </c>
      <c r="N83" s="14" t="s">
        <v>206</v>
      </c>
      <c r="O83" s="8"/>
      <c r="P83" s="7" t="s">
        <v>206</v>
      </c>
      <c r="Q83" s="7"/>
      <c r="R83" s="7" t="s">
        <v>602</v>
      </c>
    </row>
    <row r="84" spans="1:18" ht="66">
      <c r="A84" s="7">
        <v>83</v>
      </c>
      <c r="B84" s="7" t="s">
        <v>603</v>
      </c>
      <c r="C84" s="7" t="s">
        <v>596</v>
      </c>
      <c r="D84" s="7" t="s">
        <v>20</v>
      </c>
      <c r="E84" s="7" t="s">
        <v>21</v>
      </c>
      <c r="F84" s="7" t="s">
        <v>438</v>
      </c>
      <c r="G84" s="7" t="s">
        <v>23</v>
      </c>
      <c r="H84" s="7" t="s">
        <v>604</v>
      </c>
      <c r="I84" s="7" t="s">
        <v>605</v>
      </c>
      <c r="J84" s="7" t="s">
        <v>606</v>
      </c>
      <c r="K84" s="7" t="s">
        <v>607</v>
      </c>
      <c r="L84" s="7" t="s">
        <v>608</v>
      </c>
      <c r="M84" s="7" t="s">
        <v>29</v>
      </c>
      <c r="N84" s="8" t="s">
        <v>206</v>
      </c>
      <c r="O84" s="8"/>
      <c r="P84" s="7" t="s">
        <v>206</v>
      </c>
      <c r="Q84" s="7"/>
      <c r="R84" s="7" t="s">
        <v>609</v>
      </c>
    </row>
    <row r="85" spans="1:18" ht="66">
      <c r="A85" s="7">
        <v>84</v>
      </c>
      <c r="B85" s="7" t="s">
        <v>610</v>
      </c>
      <c r="C85" s="7" t="s">
        <v>596</v>
      </c>
      <c r="D85" s="7" t="s">
        <v>20</v>
      </c>
      <c r="E85" s="7" t="s">
        <v>21</v>
      </c>
      <c r="F85" s="7" t="s">
        <v>438</v>
      </c>
      <c r="G85" s="7" t="s">
        <v>23</v>
      </c>
      <c r="H85" s="7" t="s">
        <v>611</v>
      </c>
      <c r="I85" s="7" t="s">
        <v>612</v>
      </c>
      <c r="J85" s="7" t="s">
        <v>613</v>
      </c>
      <c r="K85" s="7" t="s">
        <v>614</v>
      </c>
      <c r="L85" s="7" t="s">
        <v>608</v>
      </c>
      <c r="M85" s="7" t="s">
        <v>29</v>
      </c>
      <c r="N85" s="8" t="s">
        <v>206</v>
      </c>
      <c r="O85" s="8"/>
      <c r="P85" s="7" t="s">
        <v>206</v>
      </c>
      <c r="Q85" s="7"/>
      <c r="R85" s="7" t="s">
        <v>615</v>
      </c>
    </row>
    <row r="86" spans="1:18" ht="49.5">
      <c r="A86" s="7">
        <v>85</v>
      </c>
      <c r="B86" s="7" t="s">
        <v>616</v>
      </c>
      <c r="C86" s="7" t="s">
        <v>596</v>
      </c>
      <c r="D86" s="7" t="s">
        <v>20</v>
      </c>
      <c r="E86" s="7" t="s">
        <v>21</v>
      </c>
      <c r="F86" s="7" t="s">
        <v>438</v>
      </c>
      <c r="G86" s="7" t="s">
        <v>23</v>
      </c>
      <c r="H86" s="7" t="s">
        <v>617</v>
      </c>
      <c r="I86" s="7" t="s">
        <v>618</v>
      </c>
      <c r="J86" s="7" t="s">
        <v>619</v>
      </c>
      <c r="K86" s="7" t="s">
        <v>620</v>
      </c>
      <c r="L86" s="7" t="s">
        <v>621</v>
      </c>
      <c r="M86" s="7" t="s">
        <v>29</v>
      </c>
      <c r="N86" s="8" t="s">
        <v>206</v>
      </c>
      <c r="O86" s="8"/>
      <c r="P86" s="7" t="s">
        <v>206</v>
      </c>
      <c r="Q86" s="7" t="s">
        <v>622</v>
      </c>
      <c r="R86" s="7" t="s">
        <v>623</v>
      </c>
    </row>
    <row r="87" spans="1:18" ht="49.5">
      <c r="A87" s="7">
        <v>86</v>
      </c>
      <c r="B87" s="7" t="s">
        <v>624</v>
      </c>
      <c r="C87" s="7" t="s">
        <v>596</v>
      </c>
      <c r="D87" s="7" t="s">
        <v>20</v>
      </c>
      <c r="E87" s="7" t="s">
        <v>21</v>
      </c>
      <c r="F87" s="7" t="s">
        <v>438</v>
      </c>
      <c r="G87" s="7" t="s">
        <v>23</v>
      </c>
      <c r="H87" s="7" t="s">
        <v>625</v>
      </c>
      <c r="I87" s="7" t="s">
        <v>626</v>
      </c>
      <c r="J87" s="7" t="s">
        <v>627</v>
      </c>
      <c r="K87" s="7" t="s">
        <v>628</v>
      </c>
      <c r="L87" s="7" t="s">
        <v>608</v>
      </c>
      <c r="M87" s="7" t="s">
        <v>29</v>
      </c>
      <c r="N87" s="8" t="s">
        <v>206</v>
      </c>
      <c r="O87" s="8"/>
      <c r="P87" s="7" t="s">
        <v>206</v>
      </c>
      <c r="Q87" s="7"/>
      <c r="R87" s="7" t="s">
        <v>629</v>
      </c>
    </row>
    <row r="88" spans="1:18" ht="165">
      <c r="A88" s="7">
        <v>87</v>
      </c>
      <c r="B88" s="7" t="s">
        <v>630</v>
      </c>
      <c r="C88" s="7" t="s">
        <v>596</v>
      </c>
      <c r="D88" s="7" t="s">
        <v>20</v>
      </c>
      <c r="E88" s="7" t="s">
        <v>21</v>
      </c>
      <c r="F88" s="7" t="s">
        <v>438</v>
      </c>
      <c r="G88" s="7" t="s">
        <v>23</v>
      </c>
      <c r="H88" s="7" t="s">
        <v>631</v>
      </c>
      <c r="I88" s="7" t="s">
        <v>632</v>
      </c>
      <c r="J88" s="7" t="s">
        <v>633</v>
      </c>
      <c r="K88" s="7" t="s">
        <v>634</v>
      </c>
      <c r="L88" s="7" t="s">
        <v>635</v>
      </c>
      <c r="M88" s="7" t="s">
        <v>29</v>
      </c>
      <c r="N88" s="14" t="s">
        <v>115</v>
      </c>
      <c r="O88" s="8"/>
      <c r="P88" s="7" t="s">
        <v>115</v>
      </c>
      <c r="Q88" s="14" t="s">
        <v>1015</v>
      </c>
      <c r="R88" s="7" t="s">
        <v>636</v>
      </c>
    </row>
    <row r="89" spans="1:18" ht="82.5">
      <c r="A89" s="7">
        <v>88</v>
      </c>
      <c r="B89" s="7" t="s">
        <v>637</v>
      </c>
      <c r="C89" s="7" t="s">
        <v>596</v>
      </c>
      <c r="D89" s="7" t="s">
        <v>20</v>
      </c>
      <c r="E89" s="7" t="s">
        <v>21</v>
      </c>
      <c r="F89" s="7"/>
      <c r="G89" s="7" t="s">
        <v>23</v>
      </c>
      <c r="H89" s="7" t="s">
        <v>638</v>
      </c>
      <c r="I89" s="7" t="s">
        <v>639</v>
      </c>
      <c r="J89" s="7" t="s">
        <v>640</v>
      </c>
      <c r="K89" s="7" t="s">
        <v>641</v>
      </c>
      <c r="L89" s="7" t="s">
        <v>642</v>
      </c>
      <c r="M89" s="7" t="s">
        <v>87</v>
      </c>
      <c r="N89" s="14" t="s">
        <v>115</v>
      </c>
      <c r="O89" s="8"/>
      <c r="P89" s="7" t="s">
        <v>30</v>
      </c>
      <c r="Q89" s="7" t="s">
        <v>643</v>
      </c>
      <c r="R89" s="7" t="s">
        <v>644</v>
      </c>
    </row>
    <row r="90" spans="1:18" ht="66">
      <c r="A90" s="7">
        <v>89</v>
      </c>
      <c r="B90" s="7" t="s">
        <v>645</v>
      </c>
      <c r="C90" s="7" t="s">
        <v>596</v>
      </c>
      <c r="D90" s="7" t="s">
        <v>20</v>
      </c>
      <c r="E90" s="7" t="s">
        <v>21</v>
      </c>
      <c r="F90" s="7"/>
      <c r="G90" s="7" t="s">
        <v>23</v>
      </c>
      <c r="H90" s="7" t="s">
        <v>646</v>
      </c>
      <c r="I90" s="7" t="s">
        <v>647</v>
      </c>
      <c r="J90" s="7" t="s">
        <v>648</v>
      </c>
      <c r="K90" s="7" t="s">
        <v>649</v>
      </c>
      <c r="L90" s="7" t="s">
        <v>650</v>
      </c>
      <c r="M90" s="7" t="s">
        <v>87</v>
      </c>
      <c r="N90" s="14" t="s">
        <v>115</v>
      </c>
      <c r="O90" s="8"/>
      <c r="P90" s="7" t="s">
        <v>30</v>
      </c>
      <c r="Q90" s="7"/>
      <c r="R90" s="7" t="s">
        <v>651</v>
      </c>
    </row>
    <row r="91" spans="1:18" ht="66">
      <c r="A91" s="7">
        <v>90</v>
      </c>
      <c r="B91" s="7" t="s">
        <v>652</v>
      </c>
      <c r="C91" s="7" t="s">
        <v>653</v>
      </c>
      <c r="D91" s="7" t="s">
        <v>20</v>
      </c>
      <c r="E91" s="7" t="s">
        <v>21</v>
      </c>
      <c r="F91" s="7"/>
      <c r="G91" s="7" t="s">
        <v>23</v>
      </c>
      <c r="H91" s="7" t="s">
        <v>654</v>
      </c>
      <c r="I91" s="7" t="s">
        <v>655</v>
      </c>
      <c r="J91" s="7" t="s">
        <v>656</v>
      </c>
      <c r="K91" s="7" t="s">
        <v>657</v>
      </c>
      <c r="L91" s="7" t="s">
        <v>658</v>
      </c>
      <c r="M91" s="7" t="s">
        <v>29</v>
      </c>
      <c r="N91" s="14" t="s">
        <v>115</v>
      </c>
      <c r="O91" s="8"/>
      <c r="P91" s="7" t="s">
        <v>115</v>
      </c>
      <c r="Q91" s="7"/>
      <c r="R91" s="7" t="s">
        <v>659</v>
      </c>
    </row>
    <row r="92" spans="1:18" ht="115.5">
      <c r="A92" s="7">
        <v>91</v>
      </c>
      <c r="B92" s="7" t="s">
        <v>660</v>
      </c>
      <c r="C92" s="7" t="s">
        <v>653</v>
      </c>
      <c r="D92" s="7" t="s">
        <v>20</v>
      </c>
      <c r="E92" s="7" t="s">
        <v>21</v>
      </c>
      <c r="F92" s="7"/>
      <c r="G92" s="7" t="s">
        <v>23</v>
      </c>
      <c r="H92" s="7" t="s">
        <v>661</v>
      </c>
      <c r="I92" s="7" t="s">
        <v>662</v>
      </c>
      <c r="J92" s="7" t="s">
        <v>663</v>
      </c>
      <c r="K92" s="7" t="s">
        <v>664</v>
      </c>
      <c r="L92" s="7" t="s">
        <v>665</v>
      </c>
      <c r="M92" s="7" t="s">
        <v>29</v>
      </c>
      <c r="N92" s="14" t="s">
        <v>215</v>
      </c>
      <c r="O92" s="14" t="s">
        <v>1016</v>
      </c>
      <c r="P92" s="7" t="s">
        <v>215</v>
      </c>
      <c r="Q92" s="7" t="s">
        <v>666</v>
      </c>
      <c r="R92" s="7" t="s">
        <v>667</v>
      </c>
    </row>
    <row r="93" spans="1:18" ht="82.5">
      <c r="A93" s="7">
        <v>92</v>
      </c>
      <c r="B93" s="7" t="s">
        <v>668</v>
      </c>
      <c r="C93" s="7" t="s">
        <v>653</v>
      </c>
      <c r="D93" s="7" t="s">
        <v>20</v>
      </c>
      <c r="E93" s="7" t="s">
        <v>21</v>
      </c>
      <c r="F93" s="7"/>
      <c r="G93" s="7" t="s">
        <v>23</v>
      </c>
      <c r="H93" s="7" t="s">
        <v>669</v>
      </c>
      <c r="I93" s="7" t="s">
        <v>670</v>
      </c>
      <c r="J93" s="7" t="s">
        <v>671</v>
      </c>
      <c r="K93" s="7" t="s">
        <v>672</v>
      </c>
      <c r="L93" s="7" t="s">
        <v>673</v>
      </c>
      <c r="M93" s="7" t="s">
        <v>29</v>
      </c>
      <c r="N93" s="8" t="s">
        <v>115</v>
      </c>
      <c r="O93" s="8"/>
      <c r="P93" s="7" t="s">
        <v>115</v>
      </c>
      <c r="Q93" s="7"/>
      <c r="R93" s="7" t="s">
        <v>674</v>
      </c>
    </row>
    <row r="94" spans="1:18" ht="49.5">
      <c r="A94" s="7">
        <v>93</v>
      </c>
      <c r="B94" s="7" t="s">
        <v>675</v>
      </c>
      <c r="C94" s="7" t="s">
        <v>653</v>
      </c>
      <c r="D94" s="7" t="s">
        <v>199</v>
      </c>
      <c r="E94" s="7" t="s">
        <v>21</v>
      </c>
      <c r="F94" s="7"/>
      <c r="G94" s="7" t="s">
        <v>23</v>
      </c>
      <c r="H94" s="7" t="s">
        <v>676</v>
      </c>
      <c r="I94" s="7" t="s">
        <v>677</v>
      </c>
      <c r="J94" s="7"/>
      <c r="K94" s="7" t="s">
        <v>678</v>
      </c>
      <c r="L94" s="7" t="s">
        <v>679</v>
      </c>
      <c r="M94" s="7"/>
      <c r="N94" s="8" t="s">
        <v>30</v>
      </c>
      <c r="O94" s="8"/>
      <c r="P94" s="7" t="s">
        <v>30</v>
      </c>
      <c r="Q94" s="7" t="s">
        <v>680</v>
      </c>
      <c r="R94" s="7" t="s">
        <v>681</v>
      </c>
    </row>
    <row r="95" spans="1:18" ht="33">
      <c r="A95" s="7">
        <v>94</v>
      </c>
      <c r="B95" s="7" t="s">
        <v>682</v>
      </c>
      <c r="C95" s="7" t="s">
        <v>683</v>
      </c>
      <c r="D95" s="7" t="s">
        <v>20</v>
      </c>
      <c r="E95" s="7" t="s">
        <v>21</v>
      </c>
      <c r="F95" s="7"/>
      <c r="G95" s="7" t="s">
        <v>23</v>
      </c>
      <c r="H95" s="7" t="s">
        <v>684</v>
      </c>
      <c r="I95" s="7" t="s">
        <v>685</v>
      </c>
      <c r="J95" s="7" t="s">
        <v>686</v>
      </c>
      <c r="K95" s="7" t="s">
        <v>687</v>
      </c>
      <c r="L95" s="7" t="s">
        <v>688</v>
      </c>
      <c r="M95" s="7" t="s">
        <v>87</v>
      </c>
      <c r="N95" s="8" t="s">
        <v>30</v>
      </c>
      <c r="O95" s="8"/>
      <c r="P95" s="7" t="s">
        <v>30</v>
      </c>
      <c r="Q95" s="7"/>
      <c r="R95" s="7" t="s">
        <v>689</v>
      </c>
    </row>
    <row r="96" spans="1:18" ht="66">
      <c r="A96" s="7">
        <v>95</v>
      </c>
      <c r="B96" s="7" t="s">
        <v>690</v>
      </c>
      <c r="C96" s="7" t="s">
        <v>683</v>
      </c>
      <c r="D96" s="7" t="s">
        <v>199</v>
      </c>
      <c r="E96" s="7" t="s">
        <v>21</v>
      </c>
      <c r="F96" s="7"/>
      <c r="G96" s="7" t="s">
        <v>23</v>
      </c>
      <c r="H96" s="7" t="s">
        <v>691</v>
      </c>
      <c r="I96" s="7" t="s">
        <v>692</v>
      </c>
      <c r="J96" s="7"/>
      <c r="K96" s="7" t="s">
        <v>693</v>
      </c>
      <c r="L96" s="7" t="s">
        <v>694</v>
      </c>
      <c r="M96" s="7" t="s">
        <v>205</v>
      </c>
      <c r="N96" s="8" t="s">
        <v>30</v>
      </c>
      <c r="O96" s="8"/>
      <c r="P96" s="7" t="s">
        <v>30</v>
      </c>
      <c r="Q96" s="7" t="s">
        <v>695</v>
      </c>
      <c r="R96" s="7" t="s">
        <v>696</v>
      </c>
    </row>
    <row r="97" spans="1:18" ht="49.5">
      <c r="A97" s="7">
        <v>96</v>
      </c>
      <c r="B97" s="7" t="s">
        <v>697</v>
      </c>
      <c r="C97" s="7" t="s">
        <v>683</v>
      </c>
      <c r="D97" s="7" t="s">
        <v>391</v>
      </c>
      <c r="E97" s="7" t="s">
        <v>21</v>
      </c>
      <c r="F97" s="7"/>
      <c r="G97" s="7" t="s">
        <v>23</v>
      </c>
      <c r="H97" s="7" t="s">
        <v>698</v>
      </c>
      <c r="I97" s="7" t="s">
        <v>699</v>
      </c>
      <c r="J97" s="7" t="s">
        <v>700</v>
      </c>
      <c r="K97" s="7" t="s">
        <v>701</v>
      </c>
      <c r="L97" s="7" t="s">
        <v>702</v>
      </c>
      <c r="M97" s="7" t="s">
        <v>703</v>
      </c>
      <c r="N97" s="8" t="s">
        <v>206</v>
      </c>
      <c r="O97" s="8"/>
      <c r="P97" s="7" t="s">
        <v>206</v>
      </c>
      <c r="Q97" s="7"/>
      <c r="R97" s="7" t="s">
        <v>704</v>
      </c>
    </row>
    <row r="98" spans="1:18" ht="165">
      <c r="A98" s="7">
        <v>97</v>
      </c>
      <c r="B98" s="7" t="s">
        <v>705</v>
      </c>
      <c r="C98" s="7" t="s">
        <v>683</v>
      </c>
      <c r="D98" s="7" t="s">
        <v>199</v>
      </c>
      <c r="E98" s="7" t="s">
        <v>21</v>
      </c>
      <c r="F98" s="7" t="s">
        <v>200</v>
      </c>
      <c r="G98" s="7" t="s">
        <v>23</v>
      </c>
      <c r="H98" s="7" t="s">
        <v>706</v>
      </c>
      <c r="I98" s="7" t="s">
        <v>707</v>
      </c>
      <c r="J98" s="7"/>
      <c r="K98" s="7" t="s">
        <v>708</v>
      </c>
      <c r="L98" s="7" t="s">
        <v>709</v>
      </c>
      <c r="M98" s="7" t="s">
        <v>205</v>
      </c>
      <c r="N98" s="8" t="s">
        <v>30</v>
      </c>
      <c r="O98" s="8"/>
      <c r="P98" s="7" t="s">
        <v>30</v>
      </c>
      <c r="Q98" s="7" t="s">
        <v>710</v>
      </c>
      <c r="R98" s="7" t="s">
        <v>711</v>
      </c>
    </row>
    <row r="99" spans="1:18" ht="66">
      <c r="A99" s="7">
        <v>98</v>
      </c>
      <c r="B99" s="7" t="s">
        <v>712</v>
      </c>
      <c r="C99" s="7" t="s">
        <v>713</v>
      </c>
      <c r="D99" s="7" t="s">
        <v>108</v>
      </c>
      <c r="E99" s="7" t="s">
        <v>21</v>
      </c>
      <c r="F99" s="7"/>
      <c r="G99" s="7" t="s">
        <v>23</v>
      </c>
      <c r="H99" s="7" t="s">
        <v>714</v>
      </c>
      <c r="I99" s="7" t="s">
        <v>715</v>
      </c>
      <c r="J99" s="7" t="s">
        <v>716</v>
      </c>
      <c r="K99" s="7" t="s">
        <v>717</v>
      </c>
      <c r="L99" s="7" t="s">
        <v>718</v>
      </c>
      <c r="M99" s="7" t="s">
        <v>114</v>
      </c>
      <c r="N99" s="8" t="s">
        <v>30</v>
      </c>
      <c r="O99" s="8"/>
      <c r="P99" s="7" t="s">
        <v>30</v>
      </c>
      <c r="Q99" s="7"/>
      <c r="R99" s="7" t="s">
        <v>719</v>
      </c>
    </row>
    <row r="100" spans="1:18" ht="66">
      <c r="A100" s="7">
        <v>99</v>
      </c>
      <c r="B100" s="7" t="s">
        <v>720</v>
      </c>
      <c r="C100" s="7" t="s">
        <v>713</v>
      </c>
      <c r="D100" s="7" t="s">
        <v>20</v>
      </c>
      <c r="E100" s="7" t="s">
        <v>21</v>
      </c>
      <c r="F100" s="7"/>
      <c r="G100" s="7" t="s">
        <v>23</v>
      </c>
      <c r="H100" s="7" t="s">
        <v>721</v>
      </c>
      <c r="I100" s="7" t="s">
        <v>722</v>
      </c>
      <c r="J100" s="7" t="s">
        <v>723</v>
      </c>
      <c r="K100" s="7" t="s">
        <v>724</v>
      </c>
      <c r="L100" s="7" t="s">
        <v>725</v>
      </c>
      <c r="M100" s="7" t="s">
        <v>87</v>
      </c>
      <c r="N100" s="8" t="s">
        <v>115</v>
      </c>
      <c r="O100" s="8"/>
      <c r="P100" s="7" t="s">
        <v>115</v>
      </c>
      <c r="Q100" s="7" t="s">
        <v>726</v>
      </c>
      <c r="R100" s="7" t="s">
        <v>727</v>
      </c>
    </row>
    <row r="101" spans="1:18" ht="66">
      <c r="A101" s="7">
        <v>100</v>
      </c>
      <c r="B101" s="7" t="s">
        <v>728</v>
      </c>
      <c r="C101" s="7" t="s">
        <v>713</v>
      </c>
      <c r="D101" s="7" t="s">
        <v>20</v>
      </c>
      <c r="E101" s="7" t="s">
        <v>21</v>
      </c>
      <c r="F101" s="7" t="s">
        <v>507</v>
      </c>
      <c r="G101" s="7" t="s">
        <v>23</v>
      </c>
      <c r="H101" s="7" t="s">
        <v>729</v>
      </c>
      <c r="I101" s="7" t="s">
        <v>730</v>
      </c>
      <c r="J101" s="7" t="s">
        <v>731</v>
      </c>
      <c r="K101" s="7" t="s">
        <v>732</v>
      </c>
      <c r="L101" s="7" t="s">
        <v>733</v>
      </c>
      <c r="M101" s="7" t="s">
        <v>29</v>
      </c>
      <c r="N101" s="8" t="s">
        <v>206</v>
      </c>
      <c r="O101" s="8"/>
      <c r="P101" s="7" t="s">
        <v>206</v>
      </c>
      <c r="Q101" s="7" t="s">
        <v>734</v>
      </c>
      <c r="R101" s="7" t="s">
        <v>735</v>
      </c>
    </row>
    <row r="102" spans="1:18" ht="49.5">
      <c r="A102" s="7">
        <v>101</v>
      </c>
      <c r="B102" s="7" t="s">
        <v>736</v>
      </c>
      <c r="C102" s="7" t="s">
        <v>713</v>
      </c>
      <c r="D102" s="7" t="s">
        <v>391</v>
      </c>
      <c r="E102" s="7" t="s">
        <v>21</v>
      </c>
      <c r="F102" s="7" t="s">
        <v>392</v>
      </c>
      <c r="G102" s="7" t="s">
        <v>23</v>
      </c>
      <c r="H102" s="7" t="s">
        <v>737</v>
      </c>
      <c r="I102" s="7" t="s">
        <v>738</v>
      </c>
      <c r="J102" s="7" t="s">
        <v>739</v>
      </c>
      <c r="K102" s="7" t="s">
        <v>740</v>
      </c>
      <c r="L102" s="7" t="s">
        <v>741</v>
      </c>
      <c r="M102" s="7" t="s">
        <v>114</v>
      </c>
      <c r="N102" s="8" t="s">
        <v>115</v>
      </c>
      <c r="O102" s="8"/>
      <c r="P102" s="7" t="s">
        <v>115</v>
      </c>
      <c r="Q102" s="7" t="s">
        <v>742</v>
      </c>
      <c r="R102" s="7" t="s">
        <v>743</v>
      </c>
    </row>
    <row r="103" spans="1:18" ht="99">
      <c r="A103" s="7">
        <v>102</v>
      </c>
      <c r="B103" s="7" t="s">
        <v>744</v>
      </c>
      <c r="C103" s="7" t="s">
        <v>713</v>
      </c>
      <c r="D103" s="7" t="s">
        <v>20</v>
      </c>
      <c r="E103" s="7" t="s">
        <v>211</v>
      </c>
      <c r="F103" s="7" t="s">
        <v>401</v>
      </c>
      <c r="G103" s="7" t="s">
        <v>81</v>
      </c>
      <c r="H103" s="7" t="s">
        <v>745</v>
      </c>
      <c r="I103" s="7" t="s">
        <v>746</v>
      </c>
      <c r="J103" s="7" t="s">
        <v>747</v>
      </c>
      <c r="K103" s="7" t="s">
        <v>748</v>
      </c>
      <c r="L103" s="7" t="s">
        <v>749</v>
      </c>
      <c r="M103" s="7" t="s">
        <v>29</v>
      </c>
      <c r="N103" s="8" t="s">
        <v>206</v>
      </c>
      <c r="O103" s="8"/>
      <c r="P103" s="7" t="s">
        <v>206</v>
      </c>
      <c r="Q103" s="7" t="s">
        <v>750</v>
      </c>
      <c r="R103" s="7" t="s">
        <v>751</v>
      </c>
    </row>
    <row r="104" spans="1:18" ht="99">
      <c r="A104" s="7">
        <v>103</v>
      </c>
      <c r="B104" s="7" t="s">
        <v>752</v>
      </c>
      <c r="C104" s="7" t="s">
        <v>753</v>
      </c>
      <c r="D104" s="7" t="s">
        <v>20</v>
      </c>
      <c r="E104" s="7" t="s">
        <v>21</v>
      </c>
      <c r="F104" s="7" t="s">
        <v>80</v>
      </c>
      <c r="G104" s="7" t="s">
        <v>23</v>
      </c>
      <c r="H104" s="7" t="s">
        <v>754</v>
      </c>
      <c r="I104" s="7" t="s">
        <v>755</v>
      </c>
      <c r="J104" s="7" t="s">
        <v>756</v>
      </c>
      <c r="K104" s="7" t="s">
        <v>757</v>
      </c>
      <c r="L104" s="7" t="s">
        <v>758</v>
      </c>
      <c r="M104" s="7" t="s">
        <v>87</v>
      </c>
      <c r="N104" s="8" t="s">
        <v>30</v>
      </c>
      <c r="O104" s="8"/>
      <c r="P104" s="7" t="s">
        <v>30</v>
      </c>
      <c r="Q104" s="7" t="s">
        <v>759</v>
      </c>
      <c r="R104" s="7" t="s">
        <v>760</v>
      </c>
    </row>
    <row r="105" spans="1:18" ht="33">
      <c r="A105" s="7">
        <v>104</v>
      </c>
      <c r="B105" s="7" t="s">
        <v>761</v>
      </c>
      <c r="C105" s="7" t="s">
        <v>753</v>
      </c>
      <c r="D105" s="7" t="s">
        <v>199</v>
      </c>
      <c r="E105" s="7" t="s">
        <v>21</v>
      </c>
      <c r="F105" s="7" t="s">
        <v>200</v>
      </c>
      <c r="G105" s="7" t="s">
        <v>23</v>
      </c>
      <c r="H105" s="7" t="s">
        <v>762</v>
      </c>
      <c r="I105" s="7" t="s">
        <v>763</v>
      </c>
      <c r="J105" s="7"/>
      <c r="K105" s="7" t="s">
        <v>764</v>
      </c>
      <c r="L105" s="7" t="s">
        <v>765</v>
      </c>
      <c r="M105" s="7" t="s">
        <v>205</v>
      </c>
      <c r="N105" s="8" t="s">
        <v>30</v>
      </c>
      <c r="O105" s="8"/>
      <c r="P105" s="7" t="s">
        <v>30</v>
      </c>
      <c r="Q105" s="7" t="s">
        <v>766</v>
      </c>
      <c r="R105" s="7" t="s">
        <v>767</v>
      </c>
    </row>
    <row r="106" spans="1:18" ht="49.5">
      <c r="A106" s="7">
        <v>105</v>
      </c>
      <c r="B106" s="7" t="s">
        <v>768</v>
      </c>
      <c r="C106" s="7" t="s">
        <v>753</v>
      </c>
      <c r="D106" s="7" t="s">
        <v>199</v>
      </c>
      <c r="E106" s="7" t="s">
        <v>21</v>
      </c>
      <c r="F106" s="7"/>
      <c r="G106" s="7" t="s">
        <v>23</v>
      </c>
      <c r="H106" s="7" t="s">
        <v>769</v>
      </c>
      <c r="I106" s="7" t="s">
        <v>770</v>
      </c>
      <c r="J106" s="7"/>
      <c r="K106" s="7"/>
      <c r="L106" s="7" t="s">
        <v>771</v>
      </c>
      <c r="M106" s="7"/>
      <c r="N106" s="8" t="s">
        <v>30</v>
      </c>
      <c r="O106" s="8"/>
      <c r="P106" s="7" t="s">
        <v>30</v>
      </c>
      <c r="Q106" s="7" t="s">
        <v>772</v>
      </c>
      <c r="R106" s="7" t="s">
        <v>773</v>
      </c>
    </row>
    <row r="107" spans="1:18" ht="49.5">
      <c r="A107" s="7">
        <v>106</v>
      </c>
      <c r="B107" s="7" t="s">
        <v>774</v>
      </c>
      <c r="C107" s="7" t="s">
        <v>753</v>
      </c>
      <c r="D107" s="7" t="s">
        <v>391</v>
      </c>
      <c r="E107" s="7" t="s">
        <v>775</v>
      </c>
      <c r="F107" s="7"/>
      <c r="G107" s="7" t="s">
        <v>23</v>
      </c>
      <c r="H107" s="7" t="s">
        <v>776</v>
      </c>
      <c r="I107" s="7" t="s">
        <v>777</v>
      </c>
      <c r="J107" s="7"/>
      <c r="K107" s="7" t="s">
        <v>778</v>
      </c>
      <c r="L107" s="7" t="s">
        <v>779</v>
      </c>
      <c r="M107" s="7"/>
      <c r="N107" s="8" t="s">
        <v>30</v>
      </c>
      <c r="O107" s="8"/>
      <c r="P107" s="7" t="s">
        <v>30</v>
      </c>
      <c r="Q107" s="7" t="s">
        <v>780</v>
      </c>
      <c r="R107" s="7" t="s">
        <v>781</v>
      </c>
    </row>
    <row r="108" spans="1:18" ht="49.5">
      <c r="A108" s="7">
        <v>107</v>
      </c>
      <c r="B108" s="7" t="s">
        <v>782</v>
      </c>
      <c r="C108" s="7" t="s">
        <v>753</v>
      </c>
      <c r="D108" s="7" t="s">
        <v>391</v>
      </c>
      <c r="E108" s="7" t="s">
        <v>775</v>
      </c>
      <c r="F108" s="7"/>
      <c r="G108" s="7" t="s">
        <v>23</v>
      </c>
      <c r="H108" s="7" t="s">
        <v>783</v>
      </c>
      <c r="I108" s="7" t="s">
        <v>784</v>
      </c>
      <c r="J108" s="7"/>
      <c r="K108" s="7" t="s">
        <v>785</v>
      </c>
      <c r="L108" s="7" t="s">
        <v>786</v>
      </c>
      <c r="M108" s="7"/>
      <c r="N108" s="8" t="s">
        <v>30</v>
      </c>
      <c r="O108" s="8"/>
      <c r="P108" s="7" t="s">
        <v>30</v>
      </c>
      <c r="Q108" s="7" t="s">
        <v>787</v>
      </c>
      <c r="R108" s="7" t="s">
        <v>781</v>
      </c>
    </row>
    <row r="109" spans="1:18" ht="49.5">
      <c r="A109" s="7">
        <v>108</v>
      </c>
      <c r="B109" s="7" t="s">
        <v>788</v>
      </c>
      <c r="C109" s="7" t="s">
        <v>753</v>
      </c>
      <c r="D109" s="7" t="s">
        <v>391</v>
      </c>
      <c r="E109" s="7" t="s">
        <v>211</v>
      </c>
      <c r="F109" s="7"/>
      <c r="G109" s="7" t="s">
        <v>23</v>
      </c>
      <c r="H109" s="7" t="s">
        <v>789</v>
      </c>
      <c r="I109" s="7" t="s">
        <v>790</v>
      </c>
      <c r="J109" s="7"/>
      <c r="K109" s="7" t="s">
        <v>791</v>
      </c>
      <c r="L109" s="7" t="s">
        <v>792</v>
      </c>
      <c r="M109" s="7"/>
      <c r="N109" s="8" t="s">
        <v>30</v>
      </c>
      <c r="O109" s="8"/>
      <c r="P109" s="7" t="s">
        <v>30</v>
      </c>
      <c r="Q109" s="7" t="s">
        <v>793</v>
      </c>
      <c r="R109" s="7" t="s">
        <v>794</v>
      </c>
    </row>
    <row r="110" spans="1:18" ht="66">
      <c r="A110" s="7">
        <v>109</v>
      </c>
      <c r="B110" s="7" t="s">
        <v>795</v>
      </c>
      <c r="C110" s="7" t="s">
        <v>753</v>
      </c>
      <c r="D110" s="7" t="s">
        <v>391</v>
      </c>
      <c r="E110" s="7" t="s">
        <v>211</v>
      </c>
      <c r="F110" s="7"/>
      <c r="G110" s="7" t="s">
        <v>23</v>
      </c>
      <c r="H110" s="7" t="s">
        <v>796</v>
      </c>
      <c r="I110" s="7" t="s">
        <v>797</v>
      </c>
      <c r="J110" s="7"/>
      <c r="K110" s="7" t="s">
        <v>798</v>
      </c>
      <c r="L110" s="7" t="s">
        <v>799</v>
      </c>
      <c r="M110" s="7"/>
      <c r="N110" s="8" t="s">
        <v>30</v>
      </c>
      <c r="O110" s="8"/>
      <c r="P110" s="7" t="s">
        <v>30</v>
      </c>
      <c r="Q110" s="7" t="s">
        <v>800</v>
      </c>
      <c r="R110" s="7" t="s">
        <v>801</v>
      </c>
    </row>
    <row r="111" spans="1:18" ht="66">
      <c r="A111" s="7">
        <v>110</v>
      </c>
      <c r="B111" s="7" t="s">
        <v>802</v>
      </c>
      <c r="C111" s="7" t="s">
        <v>753</v>
      </c>
      <c r="D111" s="7" t="s">
        <v>391</v>
      </c>
      <c r="E111" s="7" t="s">
        <v>211</v>
      </c>
      <c r="F111" s="7"/>
      <c r="G111" s="7" t="s">
        <v>23</v>
      </c>
      <c r="H111" s="7" t="s">
        <v>803</v>
      </c>
      <c r="I111" s="7" t="s">
        <v>804</v>
      </c>
      <c r="J111" s="7"/>
      <c r="K111" s="7" t="s">
        <v>805</v>
      </c>
      <c r="L111" s="7" t="s">
        <v>806</v>
      </c>
      <c r="M111" s="7"/>
      <c r="N111" s="8" t="s">
        <v>30</v>
      </c>
      <c r="O111" s="8"/>
      <c r="P111" s="7" t="s">
        <v>30</v>
      </c>
      <c r="Q111" s="7" t="s">
        <v>807</v>
      </c>
      <c r="R111" s="7" t="s">
        <v>808</v>
      </c>
    </row>
    <row r="112" spans="1:18" ht="66">
      <c r="A112" s="7">
        <v>111</v>
      </c>
      <c r="B112" s="7" t="s">
        <v>809</v>
      </c>
      <c r="C112" s="7" t="s">
        <v>810</v>
      </c>
      <c r="D112" s="7" t="s">
        <v>108</v>
      </c>
      <c r="E112" s="7" t="s">
        <v>211</v>
      </c>
      <c r="F112" s="7"/>
      <c r="G112" s="7" t="s">
        <v>23</v>
      </c>
      <c r="H112" s="7" t="s">
        <v>811</v>
      </c>
      <c r="I112" s="7" t="s">
        <v>812</v>
      </c>
      <c r="J112" s="7"/>
      <c r="K112" s="7"/>
      <c r="L112" s="7" t="s">
        <v>813</v>
      </c>
      <c r="M112" s="7"/>
      <c r="N112" s="8" t="s">
        <v>215</v>
      </c>
      <c r="O112" s="8"/>
      <c r="P112" s="7" t="s">
        <v>215</v>
      </c>
      <c r="Q112" s="7" t="s">
        <v>814</v>
      </c>
      <c r="R112" s="7" t="s">
        <v>815</v>
      </c>
    </row>
    <row r="113" spans="1:18" ht="49.5">
      <c r="A113" s="7">
        <v>112</v>
      </c>
      <c r="B113" s="7" t="s">
        <v>816</v>
      </c>
      <c r="C113" s="7" t="s">
        <v>810</v>
      </c>
      <c r="D113" s="7" t="s">
        <v>108</v>
      </c>
      <c r="E113" s="7" t="s">
        <v>211</v>
      </c>
      <c r="F113" s="7"/>
      <c r="G113" s="7" t="s">
        <v>23</v>
      </c>
      <c r="H113" s="7" t="s">
        <v>817</v>
      </c>
      <c r="I113" s="7" t="s">
        <v>812</v>
      </c>
      <c r="J113" s="7"/>
      <c r="K113" s="7"/>
      <c r="L113" s="7" t="s">
        <v>818</v>
      </c>
      <c r="M113" s="7"/>
      <c r="N113" s="8" t="s">
        <v>215</v>
      </c>
      <c r="O113" s="8"/>
      <c r="P113" s="7" t="s">
        <v>215</v>
      </c>
      <c r="Q113" s="7" t="s">
        <v>819</v>
      </c>
      <c r="R113" s="7" t="s">
        <v>820</v>
      </c>
    </row>
    <row r="114" spans="1:18" ht="49.5">
      <c r="A114" s="7">
        <v>113</v>
      </c>
      <c r="B114" s="7" t="s">
        <v>821</v>
      </c>
      <c r="C114" s="7" t="s">
        <v>822</v>
      </c>
      <c r="D114" s="7" t="s">
        <v>108</v>
      </c>
      <c r="E114" s="7" t="s">
        <v>211</v>
      </c>
      <c r="F114" s="7"/>
      <c r="G114" s="7" t="s">
        <v>23</v>
      </c>
      <c r="H114" s="7" t="s">
        <v>823</v>
      </c>
      <c r="I114" s="7" t="s">
        <v>824</v>
      </c>
      <c r="J114" s="7"/>
      <c r="K114" s="7" t="s">
        <v>825</v>
      </c>
      <c r="L114" s="7" t="s">
        <v>826</v>
      </c>
      <c r="M114" s="7"/>
      <c r="N114" s="8" t="s">
        <v>30</v>
      </c>
      <c r="O114" s="8"/>
      <c r="P114" s="7" t="s">
        <v>30</v>
      </c>
      <c r="Q114" s="7" t="s">
        <v>827</v>
      </c>
      <c r="R114" s="7" t="s">
        <v>828</v>
      </c>
    </row>
    <row r="115" spans="1:18" ht="49.5">
      <c r="A115" s="7">
        <v>114</v>
      </c>
      <c r="B115" s="7" t="s">
        <v>829</v>
      </c>
      <c r="C115" s="7" t="s">
        <v>822</v>
      </c>
      <c r="D115" s="7" t="s">
        <v>108</v>
      </c>
      <c r="E115" s="7" t="s">
        <v>211</v>
      </c>
      <c r="F115" s="7"/>
      <c r="G115" s="7" t="s">
        <v>23</v>
      </c>
      <c r="H115" s="7" t="s">
        <v>830</v>
      </c>
      <c r="I115" s="7" t="s">
        <v>831</v>
      </c>
      <c r="J115" s="7"/>
      <c r="K115" s="7" t="s">
        <v>832</v>
      </c>
      <c r="L115" s="7" t="s">
        <v>833</v>
      </c>
      <c r="M115" s="7"/>
      <c r="N115" s="8" t="s">
        <v>30</v>
      </c>
      <c r="O115" s="8"/>
      <c r="P115" s="7" t="s">
        <v>30</v>
      </c>
      <c r="Q115" s="7"/>
      <c r="R115" s="7" t="s">
        <v>828</v>
      </c>
    </row>
    <row r="116" spans="1:18" ht="49.5">
      <c r="A116" s="7">
        <v>115</v>
      </c>
      <c r="B116" s="7" t="s">
        <v>834</v>
      </c>
      <c r="C116" s="7" t="s">
        <v>822</v>
      </c>
      <c r="D116" s="7" t="s">
        <v>108</v>
      </c>
      <c r="E116" s="7" t="s">
        <v>211</v>
      </c>
      <c r="F116" s="7"/>
      <c r="G116" s="7" t="s">
        <v>23</v>
      </c>
      <c r="H116" s="7" t="s">
        <v>835</v>
      </c>
      <c r="I116" s="7" t="s">
        <v>836</v>
      </c>
      <c r="J116" s="7"/>
      <c r="K116" s="7" t="s">
        <v>837</v>
      </c>
      <c r="L116" s="7" t="s">
        <v>833</v>
      </c>
      <c r="M116" s="7"/>
      <c r="N116" s="8" t="s">
        <v>30</v>
      </c>
      <c r="O116" s="8"/>
      <c r="P116" s="7" t="s">
        <v>30</v>
      </c>
      <c r="Q116" s="7"/>
      <c r="R116" s="7" t="s">
        <v>828</v>
      </c>
    </row>
    <row r="117" spans="1:18" ht="66">
      <c r="A117" s="7">
        <v>116</v>
      </c>
      <c r="B117" s="7" t="s">
        <v>838</v>
      </c>
      <c r="C117" s="7" t="s">
        <v>822</v>
      </c>
      <c r="D117" s="7" t="s">
        <v>108</v>
      </c>
      <c r="E117" s="7" t="s">
        <v>211</v>
      </c>
      <c r="F117" s="7"/>
      <c r="G117" s="7" t="s">
        <v>23</v>
      </c>
      <c r="H117" s="7" t="s">
        <v>839</v>
      </c>
      <c r="I117" s="7" t="s">
        <v>840</v>
      </c>
      <c r="J117" s="7"/>
      <c r="K117" s="7" t="s">
        <v>841</v>
      </c>
      <c r="L117" s="7" t="s">
        <v>833</v>
      </c>
      <c r="M117" s="7"/>
      <c r="N117" s="8" t="s">
        <v>30</v>
      </c>
      <c r="O117" s="8"/>
      <c r="P117" s="7" t="s">
        <v>30</v>
      </c>
      <c r="Q117" s="7"/>
      <c r="R117" s="7" t="s">
        <v>842</v>
      </c>
    </row>
    <row r="118" spans="1:18" ht="82.5">
      <c r="A118" s="7">
        <v>117</v>
      </c>
      <c r="B118" s="7" t="s">
        <v>843</v>
      </c>
      <c r="C118" s="7" t="s">
        <v>822</v>
      </c>
      <c r="D118" s="7" t="s">
        <v>108</v>
      </c>
      <c r="E118" s="7" t="s">
        <v>211</v>
      </c>
      <c r="F118" s="7"/>
      <c r="G118" s="7" t="s">
        <v>23</v>
      </c>
      <c r="H118" s="7" t="s">
        <v>844</v>
      </c>
      <c r="I118" s="7" t="s">
        <v>845</v>
      </c>
      <c r="J118" s="7"/>
      <c r="K118" s="7" t="s">
        <v>846</v>
      </c>
      <c r="L118" s="7" t="s">
        <v>847</v>
      </c>
      <c r="M118" s="7"/>
      <c r="N118" s="8" t="s">
        <v>215</v>
      </c>
      <c r="O118" s="8"/>
      <c r="P118" s="7" t="s">
        <v>215</v>
      </c>
      <c r="Q118" s="7" t="s">
        <v>848</v>
      </c>
      <c r="R118" s="7" t="s">
        <v>842</v>
      </c>
    </row>
    <row r="119" spans="1:18" ht="132">
      <c r="A119" s="7">
        <v>118</v>
      </c>
      <c r="B119" s="7" t="s">
        <v>849</v>
      </c>
      <c r="C119" s="7" t="s">
        <v>822</v>
      </c>
      <c r="D119" s="7" t="s">
        <v>108</v>
      </c>
      <c r="E119" s="7" t="s">
        <v>211</v>
      </c>
      <c r="F119" s="7"/>
      <c r="G119" s="7" t="s">
        <v>23</v>
      </c>
      <c r="H119" s="7" t="s">
        <v>850</v>
      </c>
      <c r="I119" s="7" t="s">
        <v>851</v>
      </c>
      <c r="J119" s="7"/>
      <c r="K119" s="7" t="s">
        <v>852</v>
      </c>
      <c r="L119" s="7" t="s">
        <v>853</v>
      </c>
      <c r="M119" s="7"/>
      <c r="N119" s="8" t="s">
        <v>30</v>
      </c>
      <c r="O119" s="8"/>
      <c r="P119" s="7" t="s">
        <v>30</v>
      </c>
      <c r="Q119" s="7" t="s">
        <v>854</v>
      </c>
      <c r="R119" s="7" t="s">
        <v>842</v>
      </c>
    </row>
    <row r="120" spans="1:18" ht="49.5">
      <c r="A120" s="7">
        <v>119</v>
      </c>
      <c r="B120" s="7" t="s">
        <v>855</v>
      </c>
      <c r="C120" s="7" t="s">
        <v>822</v>
      </c>
      <c r="D120" s="7" t="s">
        <v>20</v>
      </c>
      <c r="E120" s="7" t="s">
        <v>211</v>
      </c>
      <c r="F120" s="7"/>
      <c r="G120" s="7" t="s">
        <v>23</v>
      </c>
      <c r="H120" s="7" t="s">
        <v>856</v>
      </c>
      <c r="I120" s="7" t="s">
        <v>857</v>
      </c>
      <c r="J120" s="7"/>
      <c r="K120" s="7" t="s">
        <v>858</v>
      </c>
      <c r="L120" s="7" t="s">
        <v>833</v>
      </c>
      <c r="M120" s="7"/>
      <c r="N120" s="8" t="s">
        <v>30</v>
      </c>
      <c r="O120" s="8"/>
      <c r="P120" s="7" t="s">
        <v>30</v>
      </c>
      <c r="Q120" s="7"/>
      <c r="R120" s="7" t="s">
        <v>859</v>
      </c>
    </row>
    <row r="121" spans="1:18" ht="49.5">
      <c r="A121" s="7">
        <v>120</v>
      </c>
      <c r="B121" s="7" t="s">
        <v>860</v>
      </c>
      <c r="C121" s="7" t="s">
        <v>822</v>
      </c>
      <c r="D121" s="7" t="s">
        <v>20</v>
      </c>
      <c r="E121" s="7" t="s">
        <v>211</v>
      </c>
      <c r="F121" s="7"/>
      <c r="G121" s="7" t="s">
        <v>23</v>
      </c>
      <c r="H121" s="7" t="s">
        <v>861</v>
      </c>
      <c r="I121" s="7" t="s">
        <v>862</v>
      </c>
      <c r="J121" s="7"/>
      <c r="K121" s="7" t="s">
        <v>863</v>
      </c>
      <c r="L121" s="7" t="s">
        <v>833</v>
      </c>
      <c r="M121" s="7"/>
      <c r="N121" s="8" t="s">
        <v>30</v>
      </c>
      <c r="O121" s="8"/>
      <c r="P121" s="7" t="s">
        <v>30</v>
      </c>
      <c r="Q121" s="7"/>
      <c r="R121" s="7" t="s">
        <v>859</v>
      </c>
    </row>
    <row r="122" spans="1:18" ht="49.5">
      <c r="A122" s="7">
        <v>121</v>
      </c>
      <c r="B122" s="7" t="s">
        <v>864</v>
      </c>
      <c r="C122" s="7" t="s">
        <v>822</v>
      </c>
      <c r="D122" s="7" t="s">
        <v>20</v>
      </c>
      <c r="E122" s="7" t="s">
        <v>211</v>
      </c>
      <c r="F122" s="7"/>
      <c r="G122" s="7" t="s">
        <v>23</v>
      </c>
      <c r="H122" s="7" t="s">
        <v>865</v>
      </c>
      <c r="I122" s="7" t="s">
        <v>866</v>
      </c>
      <c r="J122" s="7"/>
      <c r="K122" s="7" t="s">
        <v>867</v>
      </c>
      <c r="L122" s="7" t="s">
        <v>833</v>
      </c>
      <c r="M122" s="7"/>
      <c r="N122" s="8" t="s">
        <v>30</v>
      </c>
      <c r="O122" s="8"/>
      <c r="P122" s="7" t="s">
        <v>30</v>
      </c>
      <c r="Q122" s="7"/>
      <c r="R122" s="7" t="s">
        <v>859</v>
      </c>
    </row>
    <row r="123" spans="1:18" ht="49.5">
      <c r="A123" s="7">
        <v>122</v>
      </c>
      <c r="B123" s="7" t="s">
        <v>868</v>
      </c>
      <c r="C123" s="7" t="s">
        <v>822</v>
      </c>
      <c r="D123" s="7" t="s">
        <v>20</v>
      </c>
      <c r="E123" s="7" t="s">
        <v>211</v>
      </c>
      <c r="F123" s="7"/>
      <c r="G123" s="7" t="s">
        <v>23</v>
      </c>
      <c r="H123" s="7" t="s">
        <v>869</v>
      </c>
      <c r="I123" s="7" t="s">
        <v>870</v>
      </c>
      <c r="J123" s="7"/>
      <c r="K123" s="7" t="s">
        <v>871</v>
      </c>
      <c r="L123" s="7" t="s">
        <v>833</v>
      </c>
      <c r="M123" s="7"/>
      <c r="N123" s="8" t="s">
        <v>30</v>
      </c>
      <c r="O123" s="8"/>
      <c r="P123" s="7" t="s">
        <v>30</v>
      </c>
      <c r="Q123" s="7"/>
      <c r="R123" s="7" t="s">
        <v>859</v>
      </c>
    </row>
    <row r="124" spans="1:18" ht="49.5">
      <c r="A124" s="7">
        <v>123</v>
      </c>
      <c r="B124" s="7" t="s">
        <v>872</v>
      </c>
      <c r="C124" s="7" t="s">
        <v>822</v>
      </c>
      <c r="D124" s="7" t="s">
        <v>20</v>
      </c>
      <c r="E124" s="7" t="s">
        <v>211</v>
      </c>
      <c r="F124" s="7" t="s">
        <v>873</v>
      </c>
      <c r="G124" s="7" t="s">
        <v>23</v>
      </c>
      <c r="H124" s="7" t="s">
        <v>874</v>
      </c>
      <c r="I124" s="7" t="s">
        <v>875</v>
      </c>
      <c r="J124" s="7"/>
      <c r="K124" s="7" t="s">
        <v>876</v>
      </c>
      <c r="L124" s="7" t="s">
        <v>877</v>
      </c>
      <c r="M124" s="7"/>
      <c r="N124" s="8" t="s">
        <v>30</v>
      </c>
      <c r="O124" s="8"/>
      <c r="P124" s="7" t="s">
        <v>30</v>
      </c>
      <c r="Q124" s="7" t="s">
        <v>878</v>
      </c>
      <c r="R124" s="7" t="s">
        <v>859</v>
      </c>
    </row>
    <row r="125" spans="1:18" ht="49.5">
      <c r="A125" s="7">
        <v>124</v>
      </c>
      <c r="B125" s="7" t="s">
        <v>879</v>
      </c>
      <c r="C125" s="7" t="s">
        <v>822</v>
      </c>
      <c r="D125" s="7" t="s">
        <v>20</v>
      </c>
      <c r="E125" s="7" t="s">
        <v>211</v>
      </c>
      <c r="F125" s="7" t="s">
        <v>873</v>
      </c>
      <c r="G125" s="7" t="s">
        <v>23</v>
      </c>
      <c r="H125" s="7" t="s">
        <v>880</v>
      </c>
      <c r="I125" s="7" t="s">
        <v>881</v>
      </c>
      <c r="J125" s="7"/>
      <c r="K125" s="7" t="s">
        <v>882</v>
      </c>
      <c r="L125" s="7" t="s">
        <v>833</v>
      </c>
      <c r="M125" s="7"/>
      <c r="N125" s="8" t="s">
        <v>30</v>
      </c>
      <c r="O125" s="8"/>
      <c r="P125" s="7" t="s">
        <v>30</v>
      </c>
      <c r="Q125" s="7" t="s">
        <v>883</v>
      </c>
      <c r="R125" s="7" t="s">
        <v>859</v>
      </c>
    </row>
    <row r="126" spans="1:18" ht="49.5">
      <c r="A126" s="7">
        <v>125</v>
      </c>
      <c r="B126" s="7" t="s">
        <v>884</v>
      </c>
      <c r="C126" s="7" t="s">
        <v>822</v>
      </c>
      <c r="D126" s="7" t="s">
        <v>20</v>
      </c>
      <c r="E126" s="7" t="s">
        <v>211</v>
      </c>
      <c r="F126" s="7"/>
      <c r="G126" s="7" t="s">
        <v>23</v>
      </c>
      <c r="H126" s="7" t="s">
        <v>885</v>
      </c>
      <c r="I126" s="7" t="s">
        <v>886</v>
      </c>
      <c r="J126" s="7"/>
      <c r="K126" s="7" t="s">
        <v>887</v>
      </c>
      <c r="L126" s="7" t="s">
        <v>833</v>
      </c>
      <c r="M126" s="7"/>
      <c r="N126" s="8" t="s">
        <v>30</v>
      </c>
      <c r="O126" s="8"/>
      <c r="P126" s="7" t="s">
        <v>30</v>
      </c>
      <c r="Q126" s="7"/>
      <c r="R126" s="7" t="s">
        <v>859</v>
      </c>
    </row>
    <row r="127" spans="1:18" ht="49.5">
      <c r="A127" s="7">
        <v>126</v>
      </c>
      <c r="B127" s="7" t="s">
        <v>888</v>
      </c>
      <c r="C127" s="7" t="s">
        <v>822</v>
      </c>
      <c r="D127" s="7" t="s">
        <v>20</v>
      </c>
      <c r="E127" s="7" t="s">
        <v>211</v>
      </c>
      <c r="F127" s="7"/>
      <c r="G127" s="7" t="s">
        <v>23</v>
      </c>
      <c r="H127" s="7" t="s">
        <v>889</v>
      </c>
      <c r="I127" s="7" t="s">
        <v>890</v>
      </c>
      <c r="J127" s="7"/>
      <c r="K127" s="7" t="s">
        <v>891</v>
      </c>
      <c r="L127" s="7" t="s">
        <v>833</v>
      </c>
      <c r="M127" s="7"/>
      <c r="N127" s="8" t="s">
        <v>30</v>
      </c>
      <c r="O127" s="8"/>
      <c r="P127" s="7" t="s">
        <v>30</v>
      </c>
      <c r="Q127" s="7"/>
      <c r="R127" s="7" t="s">
        <v>859</v>
      </c>
    </row>
    <row r="128" spans="1:18" ht="49.5">
      <c r="A128" s="7">
        <v>127</v>
      </c>
      <c r="B128" s="7" t="s">
        <v>892</v>
      </c>
      <c r="C128" s="7" t="s">
        <v>822</v>
      </c>
      <c r="D128" s="7" t="s">
        <v>20</v>
      </c>
      <c r="E128" s="7" t="s">
        <v>211</v>
      </c>
      <c r="F128" s="7"/>
      <c r="G128" s="7" t="s">
        <v>23</v>
      </c>
      <c r="H128" s="7" t="s">
        <v>893</v>
      </c>
      <c r="I128" s="7" t="s">
        <v>894</v>
      </c>
      <c r="J128" s="7"/>
      <c r="K128" s="7" t="s">
        <v>895</v>
      </c>
      <c r="L128" s="7" t="s">
        <v>833</v>
      </c>
      <c r="M128" s="7"/>
      <c r="N128" s="8" t="s">
        <v>30</v>
      </c>
      <c r="O128" s="8"/>
      <c r="P128" s="7" t="s">
        <v>30</v>
      </c>
      <c r="Q128" s="7"/>
      <c r="R128" s="7" t="s">
        <v>859</v>
      </c>
    </row>
    <row r="129" spans="1:18" ht="49.5">
      <c r="A129" s="7">
        <v>128</v>
      </c>
      <c r="B129" s="7" t="s">
        <v>896</v>
      </c>
      <c r="C129" s="7" t="s">
        <v>822</v>
      </c>
      <c r="D129" s="7" t="s">
        <v>20</v>
      </c>
      <c r="E129" s="7" t="s">
        <v>211</v>
      </c>
      <c r="F129" s="7"/>
      <c r="G129" s="7" t="s">
        <v>23</v>
      </c>
      <c r="H129" s="7" t="s">
        <v>897</v>
      </c>
      <c r="I129" s="7" t="s">
        <v>898</v>
      </c>
      <c r="J129" s="7"/>
      <c r="K129" s="7" t="s">
        <v>899</v>
      </c>
      <c r="L129" s="7" t="s">
        <v>833</v>
      </c>
      <c r="M129" s="7"/>
      <c r="N129" s="8" t="s">
        <v>30</v>
      </c>
      <c r="O129" s="8"/>
      <c r="P129" s="7" t="s">
        <v>30</v>
      </c>
      <c r="Q129" s="7"/>
      <c r="R129" s="7" t="s">
        <v>859</v>
      </c>
    </row>
    <row r="130" spans="1:18" ht="49.5">
      <c r="A130" s="7">
        <v>129</v>
      </c>
      <c r="B130" s="7" t="s">
        <v>900</v>
      </c>
      <c r="C130" s="7" t="s">
        <v>822</v>
      </c>
      <c r="D130" s="7" t="s">
        <v>20</v>
      </c>
      <c r="E130" s="7" t="s">
        <v>211</v>
      </c>
      <c r="F130" s="7" t="s">
        <v>873</v>
      </c>
      <c r="G130" s="7" t="s">
        <v>23</v>
      </c>
      <c r="H130" s="7" t="s">
        <v>901</v>
      </c>
      <c r="I130" s="7" t="s">
        <v>902</v>
      </c>
      <c r="J130" s="7"/>
      <c r="K130" s="7" t="s">
        <v>903</v>
      </c>
      <c r="L130" s="7" t="s">
        <v>904</v>
      </c>
      <c r="M130" s="7"/>
      <c r="N130" s="8" t="s">
        <v>30</v>
      </c>
      <c r="O130" s="8"/>
      <c r="P130" s="7" t="s">
        <v>30</v>
      </c>
      <c r="Q130" s="7" t="s">
        <v>905</v>
      </c>
      <c r="R130" s="7" t="s">
        <v>859</v>
      </c>
    </row>
    <row r="131" spans="1:18" ht="49.5">
      <c r="A131" s="7">
        <v>130</v>
      </c>
      <c r="B131" s="7" t="s">
        <v>906</v>
      </c>
      <c r="C131" s="7" t="s">
        <v>822</v>
      </c>
      <c r="D131" s="7" t="s">
        <v>20</v>
      </c>
      <c r="E131" s="7" t="s">
        <v>211</v>
      </c>
      <c r="F131" s="7" t="s">
        <v>873</v>
      </c>
      <c r="G131" s="7" t="s">
        <v>23</v>
      </c>
      <c r="H131" s="7" t="s">
        <v>907</v>
      </c>
      <c r="I131" s="7" t="s">
        <v>908</v>
      </c>
      <c r="J131" s="7"/>
      <c r="K131" s="7" t="s">
        <v>909</v>
      </c>
      <c r="L131" s="7" t="s">
        <v>833</v>
      </c>
      <c r="M131" s="7"/>
      <c r="N131" s="8" t="s">
        <v>30</v>
      </c>
      <c r="O131" s="8"/>
      <c r="P131" s="7" t="s">
        <v>30</v>
      </c>
      <c r="Q131" s="7" t="s">
        <v>910</v>
      </c>
      <c r="R131" s="7" t="s">
        <v>859</v>
      </c>
    </row>
    <row r="132" spans="1:18" ht="49.5">
      <c r="A132" s="7">
        <v>131</v>
      </c>
      <c r="B132" s="7" t="s">
        <v>911</v>
      </c>
      <c r="C132" s="7" t="s">
        <v>822</v>
      </c>
      <c r="D132" s="7" t="s">
        <v>20</v>
      </c>
      <c r="E132" s="7" t="s">
        <v>211</v>
      </c>
      <c r="F132" s="7"/>
      <c r="G132" s="7" t="s">
        <v>23</v>
      </c>
      <c r="H132" s="7" t="s">
        <v>912</v>
      </c>
      <c r="I132" s="7" t="s">
        <v>913</v>
      </c>
      <c r="J132" s="7"/>
      <c r="K132" s="7" t="s">
        <v>914</v>
      </c>
      <c r="L132" s="7" t="s">
        <v>833</v>
      </c>
      <c r="M132" s="7"/>
      <c r="N132" s="8" t="s">
        <v>30</v>
      </c>
      <c r="O132" s="8"/>
      <c r="P132" s="7" t="s">
        <v>30</v>
      </c>
      <c r="Q132" s="7"/>
      <c r="R132" s="7" t="s">
        <v>859</v>
      </c>
    </row>
    <row r="133" spans="1:18" ht="49.5">
      <c r="A133" s="7">
        <v>132</v>
      </c>
      <c r="B133" s="7" t="s">
        <v>915</v>
      </c>
      <c r="C133" s="7" t="s">
        <v>822</v>
      </c>
      <c r="D133" s="7" t="s">
        <v>20</v>
      </c>
      <c r="E133" s="7" t="s">
        <v>211</v>
      </c>
      <c r="F133" s="7"/>
      <c r="G133" s="7" t="s">
        <v>23</v>
      </c>
      <c r="H133" s="7" t="s">
        <v>916</v>
      </c>
      <c r="I133" s="7" t="s">
        <v>917</v>
      </c>
      <c r="J133" s="7"/>
      <c r="K133" s="7" t="s">
        <v>918</v>
      </c>
      <c r="L133" s="7" t="s">
        <v>833</v>
      </c>
      <c r="M133" s="7"/>
      <c r="N133" s="8" t="s">
        <v>30</v>
      </c>
      <c r="O133" s="8"/>
      <c r="P133" s="7" t="s">
        <v>30</v>
      </c>
      <c r="Q133" s="7"/>
      <c r="R133" s="7" t="s">
        <v>859</v>
      </c>
    </row>
    <row r="134" spans="1:18" ht="49.5">
      <c r="A134" s="7">
        <v>133</v>
      </c>
      <c r="B134" s="7" t="s">
        <v>919</v>
      </c>
      <c r="C134" s="7" t="s">
        <v>822</v>
      </c>
      <c r="D134" s="7" t="s">
        <v>20</v>
      </c>
      <c r="E134" s="7" t="s">
        <v>211</v>
      </c>
      <c r="F134" s="7" t="s">
        <v>873</v>
      </c>
      <c r="G134" s="7" t="s">
        <v>23</v>
      </c>
      <c r="H134" s="7" t="s">
        <v>920</v>
      </c>
      <c r="I134" s="7" t="s">
        <v>921</v>
      </c>
      <c r="J134" s="7"/>
      <c r="K134" s="7" t="s">
        <v>922</v>
      </c>
      <c r="L134" s="7" t="s">
        <v>923</v>
      </c>
      <c r="M134" s="7"/>
      <c r="N134" s="8" t="s">
        <v>30</v>
      </c>
      <c r="O134" s="8"/>
      <c r="P134" s="7" t="s">
        <v>30</v>
      </c>
      <c r="Q134" s="7" t="s">
        <v>924</v>
      </c>
      <c r="R134" s="7" t="s">
        <v>859</v>
      </c>
    </row>
    <row r="135" spans="1:18" ht="49.5">
      <c r="A135" s="7">
        <v>134</v>
      </c>
      <c r="B135" s="7" t="s">
        <v>925</v>
      </c>
      <c r="C135" s="7" t="s">
        <v>822</v>
      </c>
      <c r="D135" s="7" t="s">
        <v>108</v>
      </c>
      <c r="E135" s="7" t="s">
        <v>211</v>
      </c>
      <c r="F135" s="7"/>
      <c r="G135" s="7" t="s">
        <v>23</v>
      </c>
      <c r="H135" s="7" t="s">
        <v>926</v>
      </c>
      <c r="I135" s="7" t="s">
        <v>927</v>
      </c>
      <c r="J135" s="7"/>
      <c r="K135" s="7" t="s">
        <v>928</v>
      </c>
      <c r="L135" s="7" t="s">
        <v>833</v>
      </c>
      <c r="M135" s="7"/>
      <c r="N135" s="8" t="s">
        <v>30</v>
      </c>
      <c r="O135" s="8"/>
      <c r="P135" s="7" t="s">
        <v>30</v>
      </c>
      <c r="Q135" s="7"/>
      <c r="R135" s="7" t="s">
        <v>859</v>
      </c>
    </row>
    <row r="136" spans="1:18" ht="49.5">
      <c r="A136" s="7">
        <v>135</v>
      </c>
      <c r="B136" s="7" t="s">
        <v>929</v>
      </c>
      <c r="C136" s="7" t="s">
        <v>822</v>
      </c>
      <c r="D136" s="7" t="s">
        <v>108</v>
      </c>
      <c r="E136" s="7" t="s">
        <v>211</v>
      </c>
      <c r="F136" s="7"/>
      <c r="G136" s="7" t="s">
        <v>23</v>
      </c>
      <c r="H136" s="7" t="s">
        <v>930</v>
      </c>
      <c r="I136" s="7" t="s">
        <v>931</v>
      </c>
      <c r="J136" s="7"/>
      <c r="K136" s="7" t="s">
        <v>932</v>
      </c>
      <c r="L136" s="7" t="s">
        <v>833</v>
      </c>
      <c r="M136" s="7"/>
      <c r="N136" s="8" t="s">
        <v>30</v>
      </c>
      <c r="O136" s="8"/>
      <c r="P136" s="7" t="s">
        <v>30</v>
      </c>
      <c r="Q136" s="7" t="s">
        <v>933</v>
      </c>
      <c r="R136" s="7" t="s">
        <v>859</v>
      </c>
    </row>
    <row r="137" spans="1:18" ht="49.5">
      <c r="A137" s="7">
        <v>136</v>
      </c>
      <c r="B137" s="7" t="s">
        <v>934</v>
      </c>
      <c r="C137" s="7" t="s">
        <v>822</v>
      </c>
      <c r="D137" s="7" t="s">
        <v>108</v>
      </c>
      <c r="E137" s="7" t="s">
        <v>211</v>
      </c>
      <c r="F137" s="7"/>
      <c r="G137" s="7" t="s">
        <v>23</v>
      </c>
      <c r="H137" s="7" t="s">
        <v>935</v>
      </c>
      <c r="I137" s="7" t="s">
        <v>936</v>
      </c>
      <c r="J137" s="7"/>
      <c r="K137" s="7" t="s">
        <v>937</v>
      </c>
      <c r="L137" s="7" t="s">
        <v>833</v>
      </c>
      <c r="M137" s="7"/>
      <c r="N137" s="8" t="s">
        <v>30</v>
      </c>
      <c r="O137" s="8"/>
      <c r="P137" s="7" t="s">
        <v>30</v>
      </c>
      <c r="Q137" s="7"/>
      <c r="R137" s="7" t="s">
        <v>859</v>
      </c>
    </row>
    <row r="138" spans="1:18" ht="49.5">
      <c r="A138" s="7">
        <v>137</v>
      </c>
      <c r="B138" s="7" t="s">
        <v>938</v>
      </c>
      <c r="C138" s="7" t="s">
        <v>822</v>
      </c>
      <c r="D138" s="7" t="s">
        <v>108</v>
      </c>
      <c r="E138" s="7" t="s">
        <v>211</v>
      </c>
      <c r="F138" s="7" t="s">
        <v>873</v>
      </c>
      <c r="G138" s="7" t="s">
        <v>23</v>
      </c>
      <c r="H138" s="7" t="s">
        <v>939</v>
      </c>
      <c r="I138" s="7" t="s">
        <v>940</v>
      </c>
      <c r="J138" s="7"/>
      <c r="K138" s="7" t="s">
        <v>941</v>
      </c>
      <c r="L138" s="7" t="s">
        <v>833</v>
      </c>
      <c r="M138" s="7"/>
      <c r="N138" s="8" t="s">
        <v>30</v>
      </c>
      <c r="O138" s="8"/>
      <c r="P138" s="7" t="s">
        <v>30</v>
      </c>
      <c r="Q138" s="7" t="s">
        <v>942</v>
      </c>
      <c r="R138" s="7" t="s">
        <v>859</v>
      </c>
    </row>
    <row r="139" spans="1:18" ht="49.5">
      <c r="A139" s="7">
        <v>138</v>
      </c>
      <c r="B139" s="7" t="s">
        <v>943</v>
      </c>
      <c r="C139" s="7" t="s">
        <v>822</v>
      </c>
      <c r="D139" s="7" t="s">
        <v>108</v>
      </c>
      <c r="E139" s="7" t="s">
        <v>211</v>
      </c>
      <c r="F139" s="7"/>
      <c r="G139" s="7" t="s">
        <v>23</v>
      </c>
      <c r="H139" s="7" t="s">
        <v>944</v>
      </c>
      <c r="I139" s="7" t="s">
        <v>945</v>
      </c>
      <c r="J139" s="7"/>
      <c r="K139" s="7" t="s">
        <v>946</v>
      </c>
      <c r="L139" s="7" t="s">
        <v>833</v>
      </c>
      <c r="M139" s="7"/>
      <c r="N139" s="8" t="s">
        <v>30</v>
      </c>
      <c r="O139" s="8"/>
      <c r="P139" s="7" t="s">
        <v>30</v>
      </c>
      <c r="Q139" s="7"/>
      <c r="R139" s="7" t="s">
        <v>859</v>
      </c>
    </row>
  </sheetData>
  <autoFilter ref="A1:R139" xr:uid="{00000000-0009-0000-0000-000001000000}"/>
  <phoneticPr fontId="5"/>
  <dataValidations count="1">
    <dataValidation type="list" allowBlank="1" showErrorMessage="1" errorTitle="要否" error="一覧の 5 つから選んでください" sqref="N2:N139" xr:uid="{00000000-0002-0000-0100-000000000000}">
      <formula1>"表示する（今のまま）,表示しない,OK を押さずに自然に消える表示にする,1 枚にまとめる（同じまとまりの他の行と）,文面を直す（コメントに案）"</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6"/>
  <sheetViews>
    <sheetView workbookViewId="0"/>
  </sheetViews>
  <sheetFormatPr defaultRowHeight="13.5"/>
  <cols>
    <col min="1" max="1" width="8" customWidth="1"/>
    <col min="2" max="2" width="110" customWidth="1"/>
    <col min="3" max="3" width="8" customWidth="1"/>
  </cols>
  <sheetData>
    <row r="1" spans="1:3" ht="16.5">
      <c r="A1" s="9" t="s">
        <v>5</v>
      </c>
      <c r="B1" s="9" t="s">
        <v>973</v>
      </c>
      <c r="C1" s="9" t="s">
        <v>974</v>
      </c>
    </row>
    <row r="2" spans="1:3" ht="33">
      <c r="A2" s="5" t="s">
        <v>401</v>
      </c>
      <c r="B2" s="2" t="s">
        <v>975</v>
      </c>
      <c r="C2" s="5">
        <f>COUNTIF(記入!$F$2:$F$139,A2)</f>
        <v>6</v>
      </c>
    </row>
    <row r="3" spans="1:3" ht="33">
      <c r="A3" s="5" t="s">
        <v>438</v>
      </c>
      <c r="B3" s="2" t="s">
        <v>976</v>
      </c>
      <c r="C3" s="5">
        <f>COUNTIF(記入!$F$2:$F$139,A3)</f>
        <v>8</v>
      </c>
    </row>
    <row r="4" spans="1:3" ht="16.5">
      <c r="A4" s="5" t="s">
        <v>551</v>
      </c>
      <c r="B4" s="2" t="s">
        <v>977</v>
      </c>
      <c r="C4" s="5">
        <f>COUNTIF(記入!$F$2:$F$139,A4)</f>
        <v>5</v>
      </c>
    </row>
    <row r="5" spans="1:3" ht="16.5">
      <c r="A5" s="5" t="s">
        <v>22</v>
      </c>
      <c r="B5" s="2" t="s">
        <v>978</v>
      </c>
      <c r="C5" s="5">
        <f>COUNTIF(記入!$F$2:$F$139,A5)</f>
        <v>7</v>
      </c>
    </row>
    <row r="6" spans="1:3" ht="16.5">
      <c r="A6" s="5" t="s">
        <v>91</v>
      </c>
      <c r="B6" s="2" t="s">
        <v>979</v>
      </c>
      <c r="C6" s="5">
        <f>COUNTIF(記入!$F$2:$F$139,A6)</f>
        <v>3</v>
      </c>
    </row>
    <row r="7" spans="1:3" ht="16.5">
      <c r="A7" s="5" t="s">
        <v>321</v>
      </c>
      <c r="B7" s="2" t="s">
        <v>980</v>
      </c>
      <c r="C7" s="5">
        <f>COUNTIF(記入!$F$2:$F$139,A7)</f>
        <v>4</v>
      </c>
    </row>
    <row r="8" spans="1:3" ht="16.5">
      <c r="A8" s="5" t="s">
        <v>367</v>
      </c>
      <c r="B8" s="2" t="s">
        <v>981</v>
      </c>
      <c r="C8" s="5">
        <f>COUNTIF(記入!$F$2:$F$139,A8)</f>
        <v>2</v>
      </c>
    </row>
    <row r="9" spans="1:3" ht="16.5">
      <c r="A9" s="5" t="s">
        <v>80</v>
      </c>
      <c r="B9" s="2" t="s">
        <v>982</v>
      </c>
      <c r="C9" s="5">
        <f>COUNTIF(記入!$F$2:$F$139,A9)</f>
        <v>4</v>
      </c>
    </row>
    <row r="10" spans="1:3" ht="16.5">
      <c r="A10" s="5" t="s">
        <v>119</v>
      </c>
      <c r="B10" s="2" t="s">
        <v>983</v>
      </c>
      <c r="C10" s="5">
        <f>COUNTIF(記入!$F$2:$F$139,A10)</f>
        <v>9</v>
      </c>
    </row>
    <row r="11" spans="1:3" ht="16.5">
      <c r="A11" s="5" t="s">
        <v>392</v>
      </c>
      <c r="B11" s="2" t="s">
        <v>984</v>
      </c>
      <c r="C11" s="5">
        <f>COUNTIF(記入!$F$2:$F$139,A11)</f>
        <v>2</v>
      </c>
    </row>
    <row r="12" spans="1:3" ht="16.5">
      <c r="A12" s="5" t="s">
        <v>516</v>
      </c>
      <c r="B12" s="2" t="s">
        <v>985</v>
      </c>
      <c r="C12" s="5">
        <f>COUNTIF(記入!$F$2:$F$139,A12)</f>
        <v>5</v>
      </c>
    </row>
    <row r="13" spans="1:3" ht="16.5">
      <c r="A13" s="5" t="s">
        <v>200</v>
      </c>
      <c r="B13" s="2" t="s">
        <v>986</v>
      </c>
      <c r="C13" s="5">
        <f>COUNTIF(記入!$F$2:$F$139,A13)</f>
        <v>4</v>
      </c>
    </row>
    <row r="14" spans="1:3" ht="16.5">
      <c r="A14" s="5" t="s">
        <v>212</v>
      </c>
      <c r="B14" s="2" t="s">
        <v>987</v>
      </c>
      <c r="C14" s="5">
        <f>COUNTIF(記入!$F$2:$F$139,A14)</f>
        <v>10</v>
      </c>
    </row>
    <row r="15" spans="1:3" ht="16.5">
      <c r="A15" s="5" t="s">
        <v>507</v>
      </c>
      <c r="B15" s="2" t="s">
        <v>988</v>
      </c>
      <c r="C15" s="5">
        <f>COUNTIF(記入!$F$2:$F$139,A15)</f>
        <v>2</v>
      </c>
    </row>
    <row r="16" spans="1:3" ht="16.5">
      <c r="A16" s="5" t="s">
        <v>873</v>
      </c>
      <c r="B16" s="2" t="s">
        <v>989</v>
      </c>
      <c r="C16" s="5">
        <f>COUNTIF(記入!$F$2:$F$139,A16)</f>
        <v>6</v>
      </c>
    </row>
  </sheetData>
  <phoneticPr fontId="5"/>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7"/>
  <sheetViews>
    <sheetView workbookViewId="0"/>
  </sheetViews>
  <sheetFormatPr defaultRowHeight="13.5"/>
  <cols>
    <col min="1" max="1" width="120" customWidth="1"/>
  </cols>
  <sheetData>
    <row r="1" spans="1:1" ht="16.5">
      <c r="A1" s="4" t="s">
        <v>990</v>
      </c>
    </row>
    <row r="2" spans="1:1" ht="16.5">
      <c r="A2" s="2" t="s">
        <v>991</v>
      </c>
    </row>
    <row r="3" spans="1:1" ht="33">
      <c r="A3" s="2" t="s">
        <v>992</v>
      </c>
    </row>
    <row r="4" spans="1:1" ht="33">
      <c r="A4" s="2" t="s">
        <v>993</v>
      </c>
    </row>
    <row r="5" spans="1:1" ht="16.5">
      <c r="A5" s="2" t="s">
        <v>994</v>
      </c>
    </row>
    <row r="6" spans="1:1" ht="16.5">
      <c r="A6" s="2" t="s">
        <v>995</v>
      </c>
    </row>
    <row r="7" spans="1:1" ht="33">
      <c r="A7" s="2" t="s">
        <v>996</v>
      </c>
    </row>
    <row r="8" spans="1:1" ht="16.5">
      <c r="A8" s="2" t="s">
        <v>997</v>
      </c>
    </row>
    <row r="9" spans="1:1" ht="16.5">
      <c r="A9" s="2" t="s">
        <v>998</v>
      </c>
    </row>
    <row r="10" spans="1:1" ht="16.5">
      <c r="A10" s="2" t="s">
        <v>999</v>
      </c>
    </row>
    <row r="11" spans="1:1" ht="16.5">
      <c r="A11" s="2" t="s">
        <v>1000</v>
      </c>
    </row>
    <row r="13" spans="1:1" ht="16.5">
      <c r="A13" s="4" t="s">
        <v>1001</v>
      </c>
    </row>
    <row r="14" spans="1:1" ht="16.5">
      <c r="A14" s="10" t="s">
        <v>1002</v>
      </c>
    </row>
    <row r="15" spans="1:1" ht="16.5">
      <c r="A15" s="10" t="s">
        <v>1003</v>
      </c>
    </row>
    <row r="16" spans="1:1" ht="16.5">
      <c r="A16" s="10" t="s">
        <v>1004</v>
      </c>
    </row>
    <row r="18" spans="1:1" ht="16.5">
      <c r="A18" s="4" t="s">
        <v>1005</v>
      </c>
    </row>
    <row r="19" spans="1:1" ht="16.5">
      <c r="A19" s="2" t="s">
        <v>1006</v>
      </c>
    </row>
    <row r="20" spans="1:1" ht="66">
      <c r="A20" s="2" t="s">
        <v>1007</v>
      </c>
    </row>
    <row r="21" spans="1:1" ht="33">
      <c r="A21" s="2" t="s">
        <v>1008</v>
      </c>
    </row>
    <row r="22" spans="1:1" ht="49.5">
      <c r="A22" s="2" t="s">
        <v>1009</v>
      </c>
    </row>
    <row r="23" spans="1:1" ht="49.5">
      <c r="A23" s="2" t="s">
        <v>1010</v>
      </c>
    </row>
    <row r="24" spans="1:1" ht="82.5">
      <c r="A24" s="2" t="s">
        <v>1011</v>
      </c>
    </row>
    <row r="25" spans="1:1" ht="33">
      <c r="A25" s="2" t="s">
        <v>1012</v>
      </c>
    </row>
    <row r="26" spans="1:1" ht="33">
      <c r="A26" s="2" t="s">
        <v>1013</v>
      </c>
    </row>
    <row r="27" spans="1:1" ht="33">
      <c r="A27" s="2" t="s">
        <v>1014</v>
      </c>
    </row>
  </sheetData>
  <phoneticPr fontId="5"/>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使い方</vt:lpstr>
      <vt:lpstr>記入</vt:lpstr>
      <vt:lpstr>まとまり</vt:lpstr>
      <vt:lpstr>退役・変化</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
  <dcterms:created xsi:type="dcterms:W3CDTF">2026-10-08T14:49:56Z</dcterms:created>
  <dcterms:modified xsi:type="dcterms:W3CDTF">2026-10-08T15:48:49Z</dcterms:modified>
</cp:coreProperties>
</file>